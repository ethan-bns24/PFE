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soprema-my.sharepoint.com/personal/ebinisti_souchier-boullet_com/Documents/Documents/MDM Compartimentage/TPS MDM/"/>
    </mc:Choice>
  </mc:AlternateContent>
  <xr:revisionPtr revIDLastSave="0" documentId="8_{36B9A243-76B1-49FE-ADFF-BF16C810807F}" xr6:coauthVersionLast="47" xr6:coauthVersionMax="47" xr10:uidLastSave="{00000000-0000-0000-0000-000000000000}"/>
  <bookViews>
    <workbookView xWindow="-120" yWindow="-120" windowWidth="29040" windowHeight="15840" tabRatio="860" firstSheet="9" activeTab="9" xr2:uid="{C68D36C0-9877-4EB1-BF49-1C86C63FE398}"/>
  </bookViews>
  <sheets>
    <sheet name="Ls_PoseTypeBati" sheetId="42" r:id="rId1"/>
    <sheet name="Ls_Matiere" sheetId="44" r:id="rId2"/>
    <sheet name="Ls Finition" sheetId="55" r:id="rId3"/>
    <sheet name="Ls_Option" sheetId="45" r:id="rId4"/>
    <sheet name="Ls_InterfaceFixation" sheetId="13" r:id="rId5"/>
    <sheet name="Ls_TypeFixation" sheetId="46" r:id="rId6"/>
    <sheet name="Ls_TypeSerrure" sheetId="19" r:id="rId7"/>
    <sheet name="Ls_TypeSerrureQtVantaux" sheetId="58" r:id="rId8"/>
    <sheet name="Ls_ Cylindre" sheetId="59" r:id="rId9"/>
    <sheet name="Tc_TypeSerrureCylindre" sheetId="60" r:id="rId10"/>
    <sheet name="Ls_Composition" sheetId="43" r:id="rId11"/>
    <sheet name="Tc_MatiereFinition" sheetId="56" r:id="rId12"/>
    <sheet name="Tc_RepriseDeCharge" sheetId="51" r:id="rId13"/>
    <sheet name="Tc_ResistFeuPoseBati" sheetId="52" r:id="rId14"/>
    <sheet name="Tc_MatiereResistFeu" sheetId="53" r:id="rId15"/>
    <sheet name="Tb_TPS_Modele" sheetId="39" r:id="rId16"/>
    <sheet name="Tb_ProfilCadre" sheetId="48" r:id="rId17"/>
    <sheet name="Tb_Remplissage" sheetId="57" r:id="rId18"/>
    <sheet name="Tb_Constante" sheetId="28" r:id="rId19"/>
    <sheet name="Tb_Formule" sheetId="34" r:id="rId20"/>
    <sheet name="Tc_Dimensions" sheetId="47" r:id="rId21"/>
    <sheet name="Tc_PoseTypeBati" sheetId="32" r:id="rId22"/>
    <sheet name="Tc_FixationBati" sheetId="37" r:id="rId23"/>
    <sheet name="Tc_CompoFixation" sheetId="7" r:id="rId24"/>
    <sheet name="Tc_Composition" sheetId="38" r:id="rId25"/>
    <sheet name="Tc_FormuleRag" sheetId="50" r:id="rId26"/>
    <sheet name="Tc_KitfixBati" sheetId="54" r:id="rId27"/>
    <sheet name="Tc_MatiereBati" sheetId="2" r:id="rId28"/>
    <sheet name="Ls_Finition" sheetId="40" r:id="rId29"/>
    <sheet name="Tb_RemplissageGEN" sheetId="23" r:id="rId30"/>
    <sheet name="Tb_DimensionVantail" sheetId="26" r:id="rId31"/>
    <sheet name="Tc_FormuleRaggg" sheetId="35" r:id="rId32"/>
    <sheet name="Tc_Passage_Libre" sheetId="4" r:id="rId33"/>
    <sheet name="Ls_TypeRaG" sheetId="17" r:id="rId34"/>
    <sheet name="Tc_Matiere" sheetId="10" r:id="rId35"/>
    <sheet name="Tc_Norme_Hauteur" sheetId="22" r:id="rId36"/>
    <sheet name="RefRaG" sheetId="24" r:id="rId3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24" l="1"/>
  <c r="R19" i="24"/>
  <c r="Q19" i="24"/>
  <c r="S6" i="24"/>
  <c r="S7" i="24" s="1"/>
  <c r="S12" i="24" s="1"/>
  <c r="R6" i="24"/>
  <c r="R7" i="24" s="1"/>
  <c r="Q6" i="24"/>
  <c r="Q7" i="24" s="1"/>
  <c r="Q12" i="24" l="1"/>
  <c r="Q10" i="24"/>
  <c r="Q14" i="24" s="1"/>
  <c r="R12" i="24"/>
  <c r="R10" i="24"/>
  <c r="R14" i="24" s="1"/>
  <c r="S10" i="24"/>
  <c r="S14" i="24" s="1"/>
  <c r="R22" i="24"/>
  <c r="R21" i="24" l="1"/>
  <c r="Q21" i="24"/>
  <c r="S22" i="24"/>
  <c r="Q16" i="24"/>
  <c r="Q15" i="24"/>
  <c r="Q13" i="24"/>
  <c r="Q22" i="24"/>
  <c r="S16" i="24"/>
  <c r="S15" i="24"/>
  <c r="S13" i="24"/>
  <c r="S21" i="24"/>
  <c r="R16" i="24"/>
  <c r="R15" i="24"/>
  <c r="R13" i="24"/>
</calcChain>
</file>

<file path=xl/sharedStrings.xml><?xml version="1.0" encoding="utf-8"?>
<sst xmlns="http://schemas.openxmlformats.org/spreadsheetml/2006/main" count="885" uniqueCount="482">
  <si>
    <t>Ls_PoseTypeBati</t>
  </si>
  <si>
    <t>Ce_PoseBati</t>
  </si>
  <si>
    <t>Li_PoseBati</t>
  </si>
  <si>
    <t>PF</t>
  </si>
  <si>
    <t>Pose en Feuillure</t>
  </si>
  <si>
    <t>PT</t>
  </si>
  <si>
    <t>Pose en Tunnel</t>
  </si>
  <si>
    <t>Ls_Matiere</t>
  </si>
  <si>
    <t>Ce_Matiere</t>
  </si>
  <si>
    <t>Li_Matiere</t>
  </si>
  <si>
    <t>INOX304</t>
  </si>
  <si>
    <t>acier inoxydable 304</t>
  </si>
  <si>
    <t>INOX316</t>
  </si>
  <si>
    <t>acier inoxydable 316</t>
  </si>
  <si>
    <t>ACIER</t>
  </si>
  <si>
    <t>acier</t>
  </si>
  <si>
    <t>Ls Finition</t>
  </si>
  <si>
    <t>Ce_Finition</t>
  </si>
  <si>
    <t>Li_Finition</t>
  </si>
  <si>
    <t>GALVA</t>
  </si>
  <si>
    <t>acier galvanisé</t>
  </si>
  <si>
    <t>ELEC</t>
  </si>
  <si>
    <t>acier électrozingué</t>
  </si>
  <si>
    <t>NAT</t>
  </si>
  <si>
    <t>Naturel</t>
  </si>
  <si>
    <t>LAQ</t>
  </si>
  <si>
    <t>Laqué</t>
  </si>
  <si>
    <t>Ls_Option</t>
  </si>
  <si>
    <t>Ce_Option</t>
  </si>
  <si>
    <t>Li_Option</t>
  </si>
  <si>
    <t>Bo_Présence</t>
  </si>
  <si>
    <t>TOLALU</t>
  </si>
  <si>
    <t>Tôle ALU à Larmes</t>
  </si>
  <si>
    <t>CARPOMP</t>
  </si>
  <si>
    <t>Carré pompier</t>
  </si>
  <si>
    <t>TRIPOMP</t>
  </si>
  <si>
    <t>Triangle pompier</t>
  </si>
  <si>
    <t>TRESSE</t>
  </si>
  <si>
    <t>Tresse de mise à la terre</t>
  </si>
  <si>
    <t>PGN</t>
  </si>
  <si>
    <t>Poignée(s) en Sous Face</t>
  </si>
  <si>
    <t>KITFIX</t>
  </si>
  <si>
    <t>Kit de Fixation</t>
  </si>
  <si>
    <t>Ls_InterfaceFixation</t>
  </si>
  <si>
    <t>Ce_InterfaceFixation</t>
  </si>
  <si>
    <t>Li_InterfaceFixation</t>
  </si>
  <si>
    <t>EQL</t>
  </si>
  <si>
    <t>Equerre pliée en L</t>
  </si>
  <si>
    <t>PTA</t>
  </si>
  <si>
    <t>Platine en tôle d'acier</t>
  </si>
  <si>
    <t>DSA</t>
  </si>
  <si>
    <t>Directement sur l'aile</t>
  </si>
  <si>
    <t>Ls_Bati</t>
  </si>
  <si>
    <t>Ce_Bati</t>
  </si>
  <si>
    <t>Li_Bati</t>
  </si>
  <si>
    <t>BSC</t>
  </si>
  <si>
    <t>Bâti Scellé</t>
  </si>
  <si>
    <t>BVS</t>
  </si>
  <si>
    <t>Bâti Vissé</t>
  </si>
  <si>
    <t>Ls_TypeSerrure</t>
  </si>
  <si>
    <t>Ce_TypeSerrure</t>
  </si>
  <si>
    <t>Li_TypeSerrure</t>
  </si>
  <si>
    <t>JPM50</t>
  </si>
  <si>
    <t>JPM 50mm</t>
  </si>
  <si>
    <t>JPM120</t>
  </si>
  <si>
    <t>JPM 120mm</t>
  </si>
  <si>
    <t>JPM23001</t>
  </si>
  <si>
    <t>Serrure Pêne Dormant Seul JPM 23001</t>
  </si>
  <si>
    <t>JPM21001</t>
  </si>
  <si>
    <t>Serrure Pêne Dormant Seul JPM 21001</t>
  </si>
  <si>
    <t>DENY11862</t>
  </si>
  <si>
    <t>Serrure Pêne Dormant Seul DENY 11862</t>
  </si>
  <si>
    <t>SAVIO488</t>
  </si>
  <si>
    <t>Verrous à aiguilles SAVIO</t>
  </si>
  <si>
    <t>COMUNNELO705</t>
  </si>
  <si>
    <t>Verrous à aiguilles COMUNELLO</t>
  </si>
  <si>
    <t>Qt_Vantaux</t>
  </si>
  <si>
    <t>VACHETTED455XL</t>
  </si>
  <si>
    <t>VERROUAIG</t>
  </si>
  <si>
    <t>Ce_Cylindre</t>
  </si>
  <si>
    <t>Li_Cylindre</t>
  </si>
  <si>
    <t>C60</t>
  </si>
  <si>
    <t>Cylindre europ. 60mm</t>
  </si>
  <si>
    <t>C60BM</t>
  </si>
  <si>
    <t>Cylindre europ. 60mm à bouton moleté</t>
  </si>
  <si>
    <t>C60C7</t>
  </si>
  <si>
    <t>Cylindre europ carré pomp bouton moleté</t>
  </si>
  <si>
    <t>C60TP11</t>
  </si>
  <si>
    <t>Cylindre europ tri pomp11 bouton moleté</t>
  </si>
  <si>
    <t>C60TP14</t>
  </si>
  <si>
    <t>Cylindre europ tri pomp14 bouton moleté</t>
  </si>
  <si>
    <t>Ls_Composition</t>
  </si>
  <si>
    <t>Ce_Composition</t>
  </si>
  <si>
    <t>Li_Composition</t>
  </si>
  <si>
    <t>A2-2BA15</t>
  </si>
  <si>
    <t>Vantail composé de deux toles acier 2mm + 2 plaques BA15</t>
  </si>
  <si>
    <t>A2-3BA15</t>
  </si>
  <si>
    <t>Vantail composé de deux toles acier 2mm + 3 plaques BA15</t>
  </si>
  <si>
    <t>Tc_MatiereFinition</t>
  </si>
  <si>
    <t>Tc_RepriseDeCharge</t>
  </si>
  <si>
    <t>Ce_Modele</t>
  </si>
  <si>
    <t>La_Vant_Min</t>
  </si>
  <si>
    <t>Ht_Vant_Min</t>
  </si>
  <si>
    <t>La_Vant_Max</t>
  </si>
  <si>
    <t>Ht_Vant_Max</t>
  </si>
  <si>
    <t>Ms_RepriseDeCharge</t>
  </si>
  <si>
    <t>T67</t>
  </si>
  <si>
    <t>T68</t>
  </si>
  <si>
    <t>Ce_ResistanceFeu</t>
  </si>
  <si>
    <t>EI(2)60</t>
  </si>
  <si>
    <t>E60</t>
  </si>
  <si>
    <t>EI(1)30</t>
  </si>
  <si>
    <t>EI(2)120</t>
  </si>
  <si>
    <t>E120</t>
  </si>
  <si>
    <t>EI(1)60</t>
  </si>
  <si>
    <t>INOX</t>
  </si>
  <si>
    <t>Tb_Modele</t>
  </si>
  <si>
    <t>Li_Modele</t>
  </si>
  <si>
    <t>Co_LPL_Min</t>
  </si>
  <si>
    <t>Co_HPL_Min</t>
  </si>
  <si>
    <t>Co_LPL_Max</t>
  </si>
  <si>
    <t>Co_HPL_Max</t>
  </si>
  <si>
    <t>Trappe type 67</t>
  </si>
  <si>
    <t>Trappe type 68</t>
  </si>
  <si>
    <t>T68IPE</t>
  </si>
  <si>
    <t>Trappe type 68 + Poutre</t>
  </si>
  <si>
    <t>Tb_ProfilCadre</t>
  </si>
  <si>
    <t>Ce_ProfilCadre</t>
  </si>
  <si>
    <t>Li_ProfilCadre</t>
  </si>
  <si>
    <t>Ml_ProfilCadre</t>
  </si>
  <si>
    <t>BL</t>
  </si>
  <si>
    <t>bâti en L</t>
  </si>
  <si>
    <t>BZ</t>
  </si>
  <si>
    <t>bâti en  Z</t>
  </si>
  <si>
    <t>Tb_Remplissage</t>
  </si>
  <si>
    <t>Ce_Remplissage</t>
  </si>
  <si>
    <t>Li_Remplissage</t>
  </si>
  <si>
    <t>Ms_Remplissage</t>
  </si>
  <si>
    <t>Ep_Remplissage</t>
  </si>
  <si>
    <t>BA15</t>
  </si>
  <si>
    <t>Plâtre PLACOFLAM PPF BA 15 (BPB PLACO)</t>
  </si>
  <si>
    <t>BA13</t>
  </si>
  <si>
    <t>Plâtre PLACOFLAM PPF BA 13 (BPB PLACO)</t>
  </si>
  <si>
    <t>PROMAH15</t>
  </si>
  <si>
    <t>Promatect H15 (PROMAT)</t>
  </si>
  <si>
    <t>PROMAH20</t>
  </si>
  <si>
    <t>Promatect H20 (PROMAT)</t>
  </si>
  <si>
    <t>ACIER1</t>
  </si>
  <si>
    <t>Acier galvanisé (1 mm)</t>
  </si>
  <si>
    <t>ACIER2</t>
  </si>
  <si>
    <t>Acier galvanisé (2 mm)</t>
  </si>
  <si>
    <t>Tb_Constante</t>
  </si>
  <si>
    <t>Ce_Constante</t>
  </si>
  <si>
    <t>Li_Constante</t>
  </si>
  <si>
    <t>Co_ValConstante</t>
  </si>
  <si>
    <t>Ce_Unite</t>
  </si>
  <si>
    <t>TPS_Co_Dec_Paumelle</t>
  </si>
  <si>
    <t>Constante de calcul décalage Paumelle en Z</t>
  </si>
  <si>
    <t>MM</t>
  </si>
  <si>
    <t>TPS_Co_Jeu_VantPaum</t>
  </si>
  <si>
    <t>Constante de calcul Jeu vantail côté paumelles</t>
  </si>
  <si>
    <t>TPS_Co_Jeu_VantTravr</t>
  </si>
  <si>
    <t>Constante de calcul du Jeu vantail côté traverses</t>
  </si>
  <si>
    <t>TPS_Co_Jeu_Vantaux</t>
  </si>
  <si>
    <t>Constante de calcul des Jeux entre vantaux</t>
  </si>
  <si>
    <t>TPS_Co_Recouvrement</t>
  </si>
  <si>
    <t>Constante de calcul Recouvrement Battement</t>
  </si>
  <si>
    <t>Tb_Formule</t>
  </si>
  <si>
    <t>Ce_Formule</t>
  </si>
  <si>
    <t>Li_Formule</t>
  </si>
  <si>
    <t>Commentaire</t>
  </si>
  <si>
    <t>TPS_La_Vantail</t>
  </si>
  <si>
    <t>Largeur vantail</t>
  </si>
  <si>
    <t xml:space="preserve">  = (TPS_La_PassageLibre + Co_Vantail-6)/TPS_QT_Vantaux</t>
  </si>
  <si>
    <t>TPS_Ht_Vantail</t>
  </si>
  <si>
    <t>Hauteur vantail</t>
  </si>
  <si>
    <t xml:space="preserve">  = TPS_Ht_PassageLibre + Co_Vantail</t>
  </si>
  <si>
    <t>TPS_La_PassageUtile90</t>
  </si>
  <si>
    <t>Largeur Passage Utile 90</t>
  </si>
  <si>
    <t>=TPS_La_PassageLibre-TPS_QT_Vantaux*Co_LargeurUtile90</t>
  </si>
  <si>
    <t>TPS_Ht_HorsTout</t>
  </si>
  <si>
    <t>Hauteur Hors Tout</t>
  </si>
  <si>
    <t>=TPS_Ht_PassageLibre+Co_HorsTout</t>
  </si>
  <si>
    <t>TPS_La_HorsTout</t>
  </si>
  <si>
    <t>Largeur Hors Tout</t>
  </si>
  <si>
    <t>=TPS_La_PassageLibre+Co_HorsTout</t>
  </si>
  <si>
    <t>TPS_Ht_Baie</t>
  </si>
  <si>
    <t>Hauteur de la Baie</t>
  </si>
  <si>
    <t>=TPS_Ht_PassageLibre+Co_Baie</t>
  </si>
  <si>
    <t>TPS_La_Baie</t>
  </si>
  <si>
    <t>Largeur de la Baie</t>
  </si>
  <si>
    <t>=TPS_La_PassageLibre+Co_Baie</t>
  </si>
  <si>
    <t>TPS_La_FeuillureMin</t>
  </si>
  <si>
    <t>Largeur Feuillure Min</t>
  </si>
  <si>
    <t xml:space="preserve"> = TPS_La_PassageLibre  + Co_FeuillureMin</t>
  </si>
  <si>
    <t>TPS_La_FeuillureMax</t>
  </si>
  <si>
    <t>Largeur Feuillure Max</t>
  </si>
  <si>
    <t xml:space="preserve"> = TPS_La_PassageLibre  + Co_FeuillureMax</t>
  </si>
  <si>
    <t>TPS_Ht_FeuillureMin</t>
  </si>
  <si>
    <t>Hauteur Feuillure Min</t>
  </si>
  <si>
    <t xml:space="preserve"> = TPS_Ht_PassageLibre + Co_FeuillureMin</t>
  </si>
  <si>
    <t>TPS_Ht_FeuillureMax</t>
  </si>
  <si>
    <t>Hauteur Feuillure Max</t>
  </si>
  <si>
    <t xml:space="preserve"> = TPS_Ht_PassageLibre + Co_FeuillureMax</t>
  </si>
  <si>
    <t>TPS_SV</t>
  </si>
  <si>
    <t xml:space="preserve">Surface vantail </t>
  </si>
  <si>
    <t xml:space="preserve"> =TPS_La_Vantail * TPS_Ht_PassageLibre</t>
  </si>
  <si>
    <t>TPS_MaVantail</t>
  </si>
  <si>
    <t>Masse Vantail</t>
  </si>
  <si>
    <t xml:space="preserve"> =TPS_SV*TPS_DensRempli</t>
  </si>
  <si>
    <t>TPS_DistPoignPaum</t>
  </si>
  <si>
    <t>Distance Poignée paumelle</t>
  </si>
  <si>
    <t xml:space="preserve"> =TPS_La_Vantail - 0,085</t>
  </si>
  <si>
    <t>TPS_DistPaumGVantf</t>
  </si>
  <si>
    <t>Distance paumelle centre de gravité vantail fermé</t>
  </si>
  <si>
    <t xml:space="preserve"> =TPS_La_Vantail/2 - 0,0035</t>
  </si>
  <si>
    <t>TPS_CplVantailf</t>
  </si>
  <si>
    <t>Couple vantail fermé</t>
  </si>
  <si>
    <t xml:space="preserve"> =TPS_MaVantail * 9,81*TPS_DistPaumGVantf</t>
  </si>
  <si>
    <t>TPS_PosPaumellesX</t>
  </si>
  <si>
    <t>PositionPaumellesX</t>
  </si>
  <si>
    <t xml:space="preserve"> =TPS_La_PassageLibre/2+29,5</t>
  </si>
  <si>
    <t>TPS_PosPaumellesZ</t>
  </si>
  <si>
    <t>PositionPaumellesZ</t>
  </si>
  <si>
    <t xml:space="preserve"> =TPS_Ht_Vantail/2-TPS_Co_Dec_Paumelle-2,5</t>
  </si>
  <si>
    <t>TPS_PosVerrAiguilleX</t>
  </si>
  <si>
    <t>PositionVerrouAiguilleX</t>
  </si>
  <si>
    <t xml:space="preserve"> =IF(TPS_Ht_PassageLibre &lt; 650, 80, 120)</t>
  </si>
  <si>
    <t>TPS_BoTypeBati</t>
  </si>
  <si>
    <t>Type de Bati</t>
  </si>
  <si>
    <t xml:space="preserve"> =IF(OR(AND(TPS_BoPoseBati = 1, TPS_BoFixations = 1), AND( TPS_BoPoseBati= 2, TPS_BoFixations = 1)), 1, 2)</t>
  </si>
  <si>
    <t>1: Bâti en Z / 2: Bâti en L</t>
  </si>
  <si>
    <t>TPS_NbFixationsLa</t>
  </si>
  <si>
    <t>Nombre Fixations Largeur</t>
  </si>
  <si>
    <t xml:space="preserve"> =IF(TPS_BoFixations = 1, (CEILING(TPS_La_PassageLibre/ 800, 1) * 2), (CEILING(TPS_La_PassageLibre/ 900, 1) * 2))</t>
  </si>
  <si>
    <t>TPS_NbFixationsHt</t>
  </si>
  <si>
    <t>Nombre Fixations Hauteur</t>
  </si>
  <si>
    <t xml:space="preserve"> =IF( TPS_BoFixations= 1, (CEILING((2 * TPS_PositionPaumellesZ) / 800, 1) + 1) * 2, 4)</t>
  </si>
  <si>
    <t>TPS_BoPionAntidegond</t>
  </si>
  <si>
    <t>Présence Pion Antidégondage</t>
  </si>
  <si>
    <t xml:space="preserve"> =IF(TPS_Ht_Vantail&lt; 640, 0, 1)</t>
  </si>
  <si>
    <t>Tc_Dimensions</t>
  </si>
  <si>
    <t>Co_FeuillureMin</t>
  </si>
  <si>
    <t>Co_FeuillureMax</t>
  </si>
  <si>
    <t>Co_LargeurUtile90</t>
  </si>
  <si>
    <t>Co_HorsTout</t>
  </si>
  <si>
    <t>Co_Baie</t>
  </si>
  <si>
    <t>Co_Vantail</t>
  </si>
  <si>
    <t>Par rapport au passage libre</t>
  </si>
  <si>
    <t>Les constantes de baies sont valables pour un bati à cheviller en tunnel</t>
  </si>
  <si>
    <t>Tc_PoseTypeBati</t>
  </si>
  <si>
    <t>Tc_FixationBati</t>
  </si>
  <si>
    <t>Ce_Fixation</t>
  </si>
  <si>
    <t>Tc_CompoFixation</t>
  </si>
  <si>
    <t>Tc_Composition</t>
  </si>
  <si>
    <t>Qt_Quantite</t>
  </si>
  <si>
    <t>Co_Ordre</t>
  </si>
  <si>
    <t>Tc_FormuleRag</t>
  </si>
  <si>
    <t>Co_RAG</t>
  </si>
  <si>
    <t>Co_ConsoleX</t>
  </si>
  <si>
    <t>Ht_Console</t>
  </si>
  <si>
    <t>Ht_Chap</t>
  </si>
  <si>
    <t>Tc_MatiereBati</t>
  </si>
  <si>
    <t>Ls_Finition</t>
  </si>
  <si>
    <t>TOLGALVA</t>
  </si>
  <si>
    <t>Tole Galvanisée</t>
  </si>
  <si>
    <t>Laquage</t>
  </si>
  <si>
    <t>Inox 316 L Poli grain 220</t>
  </si>
  <si>
    <t>Inox 304 L Poli grain 220</t>
  </si>
  <si>
    <t>BA10</t>
  </si>
  <si>
    <t>Plâtre PLACOFLAM PPF BA 10 (BPB PLACO)</t>
  </si>
  <si>
    <t>BA25</t>
  </si>
  <si>
    <t>Platre PLACOFLAM PPF BA 25 (BPB PLACO)</t>
  </si>
  <si>
    <t>LDR50</t>
  </si>
  <si>
    <t>Laine de roche ROCKWOOL755 (50 mm)</t>
  </si>
  <si>
    <t>LDR100</t>
  </si>
  <si>
    <t>Laine de roche  ROCKWOOL755 (100 mm)</t>
  </si>
  <si>
    <t>ALU1</t>
  </si>
  <si>
    <t>Aluminium (1 mm)</t>
  </si>
  <si>
    <t>ALU2</t>
  </si>
  <si>
    <t>Aluminium (2 mm)</t>
  </si>
  <si>
    <t>PROMAH10</t>
  </si>
  <si>
    <t>PROMATECT H10 (PROMAT)</t>
  </si>
  <si>
    <t>Tb_DimensionVantail</t>
  </si>
  <si>
    <t>Ep_Vantaux</t>
  </si>
  <si>
    <t>Ce_CasRaG</t>
  </si>
  <si>
    <t>Course_RAG</t>
  </si>
  <si>
    <t>Fo_RAGo</t>
  </si>
  <si>
    <t>Di_Tige</t>
  </si>
  <si>
    <t>Di_Corps</t>
  </si>
  <si>
    <t>Lo_RAGo</t>
  </si>
  <si>
    <t>Lo_RAGf</t>
  </si>
  <si>
    <t>ConsoleX</t>
  </si>
  <si>
    <t>ConsoleY</t>
  </si>
  <si>
    <t>ChappeX</t>
  </si>
  <si>
    <t>ChappeY</t>
  </si>
  <si>
    <t>AN_RAG</t>
  </si>
  <si>
    <t>Co_CoteB</t>
  </si>
  <si>
    <t>Co_R</t>
  </si>
  <si>
    <t>Fo_RAGf</t>
  </si>
  <si>
    <t>Qt_RAG</t>
  </si>
  <si>
    <t>Cpl_RAGf</t>
  </si>
  <si>
    <t>Cpl_RAGo</t>
  </si>
  <si>
    <t>Lo_DistPerpVero</t>
  </si>
  <si>
    <t>Lo_DistPerpVerf</t>
  </si>
  <si>
    <t xml:space="preserve"> =Course_RAG*2+Co_RAG</t>
  </si>
  <si>
    <t xml:space="preserve"> =Lo_RAGo - Course_RAG + 10</t>
  </si>
  <si>
    <t xml:space="preserve"> =ROUND(SQRT(Lo_RAGf^2 - (ConsoleY - ChappeY)^2) + ConsoleX, 0)</t>
  </si>
  <si>
    <t xml:space="preserve"> =ToDegrees(ACOS((ConsoleY - ChappeY) / Lo_RAGf))</t>
  </si>
  <si>
    <t>SQRT(ChappeX^2 + ChappeY^2)</t>
  </si>
  <si>
    <t xml:space="preserve"> =Fo_RAGo * Co_R</t>
  </si>
  <si>
    <t xml:space="preserve"> =Fo_RAGf*(SIN(RADIANS(AN_RAG))*(ChappeY/1000)+COS(RADIANS(AN_RAG))*(ChappeX/1000))*Qt_RAG</t>
  </si>
  <si>
    <t xml:space="preserve"> =((Fo_RAG*COS(ASIN((ChappeY-ConsoleX)/Lo_RAGo)))*(ChappeY/1000))-((Fo_RAG*SIN(ASIN((ChappeY-ConsoleX)/Lo_RAGo)))*(ChappeX/1000))</t>
  </si>
  <si>
    <t xml:space="preserve"> =Lo_Dirchappepaumelle * SIN(ACOS((ConsoleY^2 + ConsoleX^2 - Lo_RAGo^2 - Lo_Dirchappepaumelle^2) / (-2 * Lo_RAGo * Lo_Dirchappepaumelle)))</t>
  </si>
  <si>
    <t xml:space="preserve"> =Lo_Dirchappepaumelle * SIN(RADIANS(DEGREES(ACOS(ChappeX / Lo_Dirchappepaumelle)) + 90 - AN_RAG))</t>
  </si>
  <si>
    <t xml:space="preserve"> =Lo_RAGo - Course_RAG + 7,5</t>
  </si>
  <si>
    <t>Co_CoteA</t>
  </si>
  <si>
    <t>Tc_Passage_Libre</t>
  </si>
  <si>
    <t>La_Min</t>
  </si>
  <si>
    <t>La_Max</t>
  </si>
  <si>
    <t>Ht_Min</t>
  </si>
  <si>
    <t>Ht_Max</t>
  </si>
  <si>
    <t>T68+IPE</t>
  </si>
  <si>
    <t>Ls_TypeRaG</t>
  </si>
  <si>
    <t>Ce_RaG</t>
  </si>
  <si>
    <t>Li_RaG</t>
  </si>
  <si>
    <t>4001F</t>
  </si>
  <si>
    <t>4001 F MADICOB</t>
  </si>
  <si>
    <t>RAYFLEX</t>
  </si>
  <si>
    <t>RAYFLEX DEFTA AIRAX</t>
  </si>
  <si>
    <t>Tc_Matiere</t>
  </si>
  <si>
    <t>Ce_Bâti</t>
  </si>
  <si>
    <t>BSCL</t>
  </si>
  <si>
    <t>BVSL</t>
  </si>
  <si>
    <t>BVSZ</t>
  </si>
  <si>
    <t>Tc_Dimensions_Hauteur</t>
  </si>
  <si>
    <t>Ht_FeuillureMin</t>
  </si>
  <si>
    <t>Ht_FeuillureMax</t>
  </si>
  <si>
    <t>Ht_Bati</t>
  </si>
  <si>
    <t>Ht_Baie</t>
  </si>
  <si>
    <t>Par rapport à la hauteur passage libre</t>
  </si>
  <si>
    <t>Grouper avecv Tc_Norme_Hauter</t>
  </si>
  <si>
    <t>Renomer Tc_Dimensions ?</t>
  </si>
  <si>
    <t>Ce_Appareil</t>
  </si>
  <si>
    <t>Fo_RaG</t>
  </si>
  <si>
    <t>Cas 1</t>
  </si>
  <si>
    <t>Cas 2</t>
  </si>
  <si>
    <t>Cas 3</t>
  </si>
  <si>
    <t>917-027</t>
  </si>
  <si>
    <t>TPS</t>
  </si>
  <si>
    <t>Course RàG</t>
  </si>
  <si>
    <t>mm</t>
  </si>
  <si>
    <t>917-298</t>
  </si>
  <si>
    <t>Diamètre tige corps RàG</t>
  </si>
  <si>
    <t>917-026</t>
  </si>
  <si>
    <t>Diamètre corps RàG</t>
  </si>
  <si>
    <t>917-299</t>
  </si>
  <si>
    <t>Constante RàG</t>
  </si>
  <si>
    <t>917-038</t>
  </si>
  <si>
    <t>Longueur RàG ouvert</t>
  </si>
  <si>
    <t>917-038-1</t>
  </si>
  <si>
    <t>Longueur RàG Fermé</t>
  </si>
  <si>
    <t>917-037</t>
  </si>
  <si>
    <t>Console X</t>
  </si>
  <si>
    <t>917-035</t>
  </si>
  <si>
    <t>Console Y</t>
  </si>
  <si>
    <t>917-416</t>
  </si>
  <si>
    <t>Chappe X</t>
  </si>
  <si>
    <t>917-217</t>
  </si>
  <si>
    <t>Chappe Y</t>
  </si>
  <si>
    <t>917-034</t>
  </si>
  <si>
    <t>Angle RàG</t>
  </si>
  <si>
    <t>deg</t>
  </si>
  <si>
    <t>917-415</t>
  </si>
  <si>
    <t>Angle ouverture trappe</t>
  </si>
  <si>
    <t>917-413</t>
  </si>
  <si>
    <t>CoteB</t>
  </si>
  <si>
    <t>Disatance directe chappe paumelle</t>
  </si>
  <si>
    <t>917-033</t>
  </si>
  <si>
    <t>Distance perpendiculaire vérin fermé</t>
  </si>
  <si>
    <t>917-080</t>
  </si>
  <si>
    <t>Distance perpendiculaire vérin ouvert</t>
  </si>
  <si>
    <t>917-414</t>
  </si>
  <si>
    <t>Force RàG ouvert</t>
  </si>
  <si>
    <t>N</t>
  </si>
  <si>
    <t>917-412</t>
  </si>
  <si>
    <t>Facteur R</t>
  </si>
  <si>
    <t>nd</t>
  </si>
  <si>
    <t>917-199</t>
  </si>
  <si>
    <t>Force RàG fermé</t>
  </si>
  <si>
    <t>917-350</t>
  </si>
  <si>
    <t>Nombre RàG</t>
  </si>
  <si>
    <t>917-411</t>
  </si>
  <si>
    <t>Couple RàG fermé</t>
  </si>
  <si>
    <t>Nm</t>
  </si>
  <si>
    <t>917-295</t>
  </si>
  <si>
    <t>Couple RàG ouvert</t>
  </si>
  <si>
    <t>917-226</t>
  </si>
  <si>
    <t>917-220</t>
  </si>
  <si>
    <t>917-539</t>
  </si>
  <si>
    <t>917-082</t>
  </si>
  <si>
    <t>917-081</t>
  </si>
  <si>
    <t>917-046-1</t>
  </si>
  <si>
    <t>917-046</t>
  </si>
  <si>
    <t>917-045</t>
  </si>
  <si>
    <t>917-045-1</t>
  </si>
  <si>
    <t>917-303</t>
  </si>
  <si>
    <t>917-470</t>
  </si>
  <si>
    <t>917-044</t>
  </si>
  <si>
    <t>917-469</t>
  </si>
  <si>
    <t>917-043</t>
  </si>
  <si>
    <t>917-468</t>
  </si>
  <si>
    <t>917-467</t>
  </si>
  <si>
    <t>917-214</t>
  </si>
  <si>
    <t>917-042</t>
  </si>
  <si>
    <t>917-466</t>
  </si>
  <si>
    <t>917-258</t>
  </si>
  <si>
    <t>917-465</t>
  </si>
  <si>
    <t>917-464</t>
  </si>
  <si>
    <t>917-041</t>
  </si>
  <si>
    <t>917-385</t>
  </si>
  <si>
    <t>917-074</t>
  </si>
  <si>
    <t>917-463</t>
  </si>
  <si>
    <t>917-040</t>
  </si>
  <si>
    <t>917-374</t>
  </si>
  <si>
    <t>917-462</t>
  </si>
  <si>
    <t>917-731</t>
  </si>
  <si>
    <t>917-730</t>
  </si>
  <si>
    <t>917-729</t>
  </si>
  <si>
    <t>917-728</t>
  </si>
  <si>
    <t>917-727</t>
  </si>
  <si>
    <t>917-726</t>
  </si>
  <si>
    <t>917-725</t>
  </si>
  <si>
    <t>917-724</t>
  </si>
  <si>
    <t>917-723</t>
  </si>
  <si>
    <t>917-722</t>
  </si>
  <si>
    <t>917-721</t>
  </si>
  <si>
    <t>917-720</t>
  </si>
  <si>
    <t>917-203</t>
  </si>
  <si>
    <t>917-719</t>
  </si>
  <si>
    <t>917-718</t>
  </si>
  <si>
    <t>917-717</t>
  </si>
  <si>
    <t>917-716</t>
  </si>
  <si>
    <t>917-401</t>
  </si>
  <si>
    <t>917-715</t>
  </si>
  <si>
    <t>917-714</t>
  </si>
  <si>
    <t>917-092</t>
  </si>
  <si>
    <t>917-713</t>
  </si>
  <si>
    <t>917-437</t>
  </si>
  <si>
    <t>917-522</t>
  </si>
  <si>
    <t>917-712</t>
  </si>
  <si>
    <t>917-436</t>
  </si>
  <si>
    <t>917-711</t>
  </si>
  <si>
    <t>917-433</t>
  </si>
  <si>
    <t>917-054</t>
  </si>
  <si>
    <t>917-706</t>
  </si>
  <si>
    <t>917-055</t>
  </si>
  <si>
    <t>917-708</t>
  </si>
  <si>
    <t>917-434</t>
  </si>
  <si>
    <t>917-427</t>
  </si>
  <si>
    <t>917-428</t>
  </si>
  <si>
    <t>917-429</t>
  </si>
  <si>
    <t>917-430</t>
  </si>
  <si>
    <t>917-051</t>
  </si>
  <si>
    <t>917-426</t>
  </si>
  <si>
    <t>917-700</t>
  </si>
  <si>
    <t>917-527</t>
  </si>
  <si>
    <t>917-421</t>
  </si>
  <si>
    <t>917-419</t>
  </si>
  <si>
    <t>917-025</t>
  </si>
  <si>
    <t>917-354</t>
  </si>
  <si>
    <t>917-420</t>
  </si>
  <si>
    <t>917-387</t>
  </si>
  <si>
    <t>917-422</t>
  </si>
  <si>
    <t>917-432</t>
  </si>
  <si>
    <t>917-435</t>
  </si>
  <si>
    <t>917-709</t>
  </si>
  <si>
    <t>917-4351</t>
  </si>
  <si>
    <t>917-048-1</t>
  </si>
  <si>
    <t>917-710</t>
  </si>
  <si>
    <t>917-048</t>
  </si>
  <si>
    <t>917-052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</si>
</sst>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3" fillId="3" borderId="0" xfId="0" applyFont="1" applyFill="1"/>
    <xf numFmtId="0" fontId="4" fillId="3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1" fontId="0" fillId="0" borderId="7" xfId="0" applyNumberFormat="1" applyBorder="1"/>
    <xf numFmtId="0" fontId="0" fillId="0" borderId="9" xfId="0" applyBorder="1"/>
    <xf numFmtId="0" fontId="0" fillId="0" borderId="10" xfId="0" applyBorder="1"/>
    <xf numFmtId="164" fontId="0" fillId="0" borderId="8" xfId="0" applyNumberFormat="1" applyBorder="1"/>
    <xf numFmtId="164" fontId="0" fillId="0" borderId="7" xfId="0" applyNumberFormat="1" applyBorder="1"/>
    <xf numFmtId="0" fontId="0" fillId="0" borderId="11" xfId="0" applyBorder="1"/>
    <xf numFmtId="1" fontId="0" fillId="0" borderId="12" xfId="0" applyNumberFormat="1" applyBorder="1"/>
    <xf numFmtId="1" fontId="0" fillId="0" borderId="11" xfId="0" applyNumberFormat="1" applyBorder="1"/>
    <xf numFmtId="0" fontId="0" fillId="0" borderId="13" xfId="0" applyBorder="1"/>
    <xf numFmtId="1" fontId="0" fillId="0" borderId="1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1" fontId="0" fillId="0" borderId="9" xfId="0" applyNumberForma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3" borderId="0" xfId="0" applyFont="1" applyFill="1"/>
    <xf numFmtId="0" fontId="0" fillId="2" borderId="0" xfId="0" applyFill="1" applyAlignment="1">
      <alignment horizontal="left" vertical="top"/>
    </xf>
    <xf numFmtId="0" fontId="0" fillId="4" borderId="0" xfId="0" applyFill="1"/>
    <xf numFmtId="0" fontId="3" fillId="0" borderId="0" xfId="0" applyFont="1"/>
    <xf numFmtId="0" fontId="3" fillId="2" borderId="0" xfId="0" applyFont="1" applyFill="1"/>
    <xf numFmtId="0" fontId="4" fillId="2" borderId="0" xfId="0" applyFont="1" applyFill="1"/>
    <xf numFmtId="0" fontId="0" fillId="2" borderId="0" xfId="0" quotePrefix="1" applyFill="1"/>
    <xf numFmtId="0" fontId="6" fillId="2" borderId="0" xfId="0" applyFont="1" applyFill="1"/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/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EE2A-E80B-4C13-8801-C7C161062F0D}">
  <sheetPr>
    <tabColor theme="9" tint="0.39997558519241921"/>
  </sheetPr>
  <dimension ref="A1:B4"/>
  <sheetViews>
    <sheetView workbookViewId="0">
      <selection activeCell="A2" sqref="A2"/>
    </sheetView>
  </sheetViews>
  <sheetFormatPr defaultColWidth="11.42578125" defaultRowHeight="15"/>
  <cols>
    <col min="1" max="1" width="12.28515625" bestFit="1" customWidth="1"/>
    <col min="2" max="2" width="16.140625" bestFit="1" customWidth="1"/>
  </cols>
  <sheetData>
    <row r="1" spans="1:2">
      <c r="A1" s="41" t="s">
        <v>0</v>
      </c>
      <c r="B1" s="41"/>
    </row>
    <row r="2" spans="1:2">
      <c r="A2" s="1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FF8C-DF21-457E-8112-270577F23EEB}">
  <sheetPr>
    <tabColor theme="9" tint="0.39997558519241921"/>
  </sheetPr>
  <dimension ref="A1:F5"/>
  <sheetViews>
    <sheetView workbookViewId="0">
      <selection activeCell="A2" sqref="A2"/>
    </sheetView>
  </sheetViews>
  <sheetFormatPr defaultColWidth="11.42578125" defaultRowHeight="15"/>
  <cols>
    <col min="1" max="1" width="11.28515625" bestFit="1" customWidth="1"/>
    <col min="2" max="2" width="18.85546875" customWidth="1"/>
    <col min="9" max="9" width="20.85546875" customWidth="1"/>
  </cols>
  <sheetData>
    <row r="1" spans="1:6">
      <c r="A1" s="2" t="s">
        <v>7</v>
      </c>
      <c r="B1" s="2"/>
    </row>
    <row r="2" spans="1:6">
      <c r="A2" s="5" t="s">
        <v>8</v>
      </c>
      <c r="B2" s="4" t="s">
        <v>9</v>
      </c>
    </row>
    <row r="3" spans="1:6">
      <c r="A3" s="4" t="s">
        <v>10</v>
      </c>
      <c r="B3" s="4" t="s">
        <v>11</v>
      </c>
      <c r="E3" s="34"/>
      <c r="F3" s="34"/>
    </row>
    <row r="4" spans="1:6">
      <c r="A4" s="4" t="s">
        <v>12</v>
      </c>
      <c r="B4" s="4" t="s">
        <v>13</v>
      </c>
      <c r="E4" s="34"/>
      <c r="F4" s="34"/>
    </row>
    <row r="5" spans="1:6">
      <c r="A5" s="4" t="s">
        <v>14</v>
      </c>
      <c r="B5" s="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9323-E284-43EC-A62F-675CA0384891}">
  <sheetPr>
    <tabColor theme="9" tint="0.39997558519241921"/>
  </sheetPr>
  <dimension ref="A1:B6"/>
  <sheetViews>
    <sheetView workbookViewId="0">
      <selection activeCell="A2" sqref="A2"/>
    </sheetView>
  </sheetViews>
  <sheetFormatPr defaultColWidth="11.42578125" defaultRowHeight="15"/>
  <cols>
    <col min="1" max="1" width="11.28515625" bestFit="1" customWidth="1"/>
    <col min="2" max="2" width="17.7109375" bestFit="1" customWidth="1"/>
  </cols>
  <sheetData>
    <row r="1" spans="1:2">
      <c r="A1" s="2" t="s">
        <v>16</v>
      </c>
      <c r="B1" s="2"/>
    </row>
    <row r="2" spans="1:2">
      <c r="A2" s="1" t="s">
        <v>17</v>
      </c>
      <c r="B2" s="2" t="s">
        <v>18</v>
      </c>
    </row>
    <row r="3" spans="1:2">
      <c r="A3" s="35" t="s">
        <v>19</v>
      </c>
      <c r="B3" s="35" t="s">
        <v>20</v>
      </c>
    </row>
    <row r="4" spans="1:2">
      <c r="A4" s="35" t="s">
        <v>21</v>
      </c>
      <c r="B4" s="35" t="s">
        <v>22</v>
      </c>
    </row>
    <row r="5" spans="1:2">
      <c r="A5" s="2" t="s">
        <v>23</v>
      </c>
      <c r="B5" s="2" t="s">
        <v>24</v>
      </c>
    </row>
    <row r="6" spans="1:2">
      <c r="A6" s="2" t="s">
        <v>25</v>
      </c>
      <c r="B6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E0BA-A4E9-406D-AF9A-8B04F3D397E6}">
  <sheetPr>
    <tabColor theme="9" tint="0.39997558519241921"/>
  </sheetPr>
  <dimension ref="A1:D8"/>
  <sheetViews>
    <sheetView workbookViewId="0">
      <selection activeCell="B16" sqref="B16"/>
    </sheetView>
  </sheetViews>
  <sheetFormatPr defaultColWidth="11.42578125" defaultRowHeight="15"/>
  <cols>
    <col min="1" max="1" width="10.5703125" bestFit="1" customWidth="1"/>
    <col min="2" max="2" width="22.5703125" bestFit="1" customWidth="1"/>
  </cols>
  <sheetData>
    <row r="1" spans="1:4">
      <c r="A1" s="42" t="s">
        <v>27</v>
      </c>
      <c r="B1" s="42"/>
      <c r="C1" s="34"/>
      <c r="D1" s="34"/>
    </row>
    <row r="2" spans="1:4">
      <c r="A2" s="5" t="s">
        <v>28</v>
      </c>
      <c r="B2" s="4" t="s">
        <v>29</v>
      </c>
      <c r="C2" s="34"/>
      <c r="D2" s="4" t="s">
        <v>30</v>
      </c>
    </row>
    <row r="3" spans="1:4">
      <c r="A3" s="4" t="s">
        <v>31</v>
      </c>
      <c r="B3" s="4" t="s">
        <v>32</v>
      </c>
      <c r="C3" s="34"/>
      <c r="D3" s="4">
        <v>0</v>
      </c>
    </row>
    <row r="4" spans="1:4">
      <c r="A4" s="4" t="s">
        <v>33</v>
      </c>
      <c r="B4" s="4" t="s">
        <v>34</v>
      </c>
      <c r="C4" s="34"/>
      <c r="D4" s="4">
        <v>1</v>
      </c>
    </row>
    <row r="5" spans="1:4">
      <c r="A5" s="4" t="s">
        <v>35</v>
      </c>
      <c r="B5" s="4" t="s">
        <v>36</v>
      </c>
      <c r="C5" s="34"/>
      <c r="D5" s="34"/>
    </row>
    <row r="6" spans="1:4">
      <c r="A6" s="4" t="s">
        <v>37</v>
      </c>
      <c r="B6" s="4" t="s">
        <v>38</v>
      </c>
      <c r="C6" s="34"/>
      <c r="D6" s="34"/>
    </row>
    <row r="7" spans="1:4">
      <c r="A7" s="4" t="s">
        <v>39</v>
      </c>
      <c r="B7" s="4" t="s">
        <v>40</v>
      </c>
      <c r="C7" s="34"/>
      <c r="D7" s="34"/>
    </row>
    <row r="8" spans="1:4">
      <c r="A8" s="4" t="s">
        <v>41</v>
      </c>
      <c r="B8" s="4" t="s">
        <v>42</v>
      </c>
      <c r="C8" s="34"/>
      <c r="D8" s="34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41DD-8A03-4238-9685-1F2ED928A5EB}">
  <sheetPr codeName="Feuil7">
    <tabColor theme="9" tint="0.39997558519241921"/>
  </sheetPr>
  <dimension ref="A1:B5"/>
  <sheetViews>
    <sheetView workbookViewId="0">
      <selection activeCell="I14" sqref="I14"/>
    </sheetView>
  </sheetViews>
  <sheetFormatPr defaultColWidth="11.42578125" defaultRowHeight="15"/>
  <cols>
    <col min="1" max="1" width="19.85546875" bestFit="1" customWidth="1"/>
    <col min="2" max="2" width="20.85546875" customWidth="1"/>
    <col min="4" max="4" width="14.7109375" bestFit="1" customWidth="1"/>
    <col min="5" max="5" width="19.5703125" customWidth="1"/>
    <col min="10" max="10" width="39.85546875" bestFit="1" customWidth="1"/>
  </cols>
  <sheetData>
    <row r="1" spans="1:2">
      <c r="A1" s="41" t="s">
        <v>43</v>
      </c>
      <c r="B1" s="41"/>
    </row>
    <row r="2" spans="1:2">
      <c r="A2" s="1" t="s">
        <v>44</v>
      </c>
      <c r="B2" s="2" t="s">
        <v>45</v>
      </c>
    </row>
    <row r="3" spans="1:2">
      <c r="A3" s="2" t="s">
        <v>46</v>
      </c>
      <c r="B3" s="2" t="s">
        <v>47</v>
      </c>
    </row>
    <row r="4" spans="1:2">
      <c r="A4" s="2" t="s">
        <v>48</v>
      </c>
      <c r="B4" s="2" t="s">
        <v>49</v>
      </c>
    </row>
    <row r="5" spans="1:2">
      <c r="A5" s="2" t="s">
        <v>50</v>
      </c>
      <c r="B5" s="2" t="s">
        <v>51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3090-6762-4FC8-801B-43085800279A}">
  <sheetPr>
    <tabColor theme="9" tint="0.39997558519241921"/>
  </sheetPr>
  <dimension ref="A1:B4"/>
  <sheetViews>
    <sheetView workbookViewId="0">
      <selection activeCell="B8" sqref="B8"/>
    </sheetView>
  </sheetViews>
  <sheetFormatPr defaultColWidth="11.42578125" defaultRowHeight="15"/>
  <sheetData>
    <row r="1" spans="1:2">
      <c r="A1" s="42" t="s">
        <v>52</v>
      </c>
      <c r="B1" s="42"/>
    </row>
    <row r="2" spans="1:2">
      <c r="A2" s="5" t="s">
        <v>53</v>
      </c>
      <c r="B2" s="4" t="s">
        <v>54</v>
      </c>
    </row>
    <row r="3" spans="1:2">
      <c r="A3" s="4" t="s">
        <v>55</v>
      </c>
      <c r="B3" s="4" t="s">
        <v>56</v>
      </c>
    </row>
    <row r="4" spans="1:2">
      <c r="A4" s="4" t="s">
        <v>57</v>
      </c>
      <c r="B4" s="4" t="s">
        <v>58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5093-D6DD-4904-A213-38595AA27D08}">
  <sheetPr codeName="Feuil16">
    <tabColor theme="9" tint="0.39997558519241921"/>
  </sheetPr>
  <dimension ref="A1:B9"/>
  <sheetViews>
    <sheetView zoomScale="115" zoomScaleNormal="115" workbookViewId="0">
      <selection activeCell="F21" sqref="F21"/>
    </sheetView>
  </sheetViews>
  <sheetFormatPr defaultColWidth="11.42578125" defaultRowHeight="15"/>
  <cols>
    <col min="1" max="1" width="16.28515625" bestFit="1" customWidth="1"/>
    <col min="2" max="2" width="35.85546875" bestFit="1" customWidth="1"/>
  </cols>
  <sheetData>
    <row r="1" spans="1:2">
      <c r="A1" s="41" t="s">
        <v>59</v>
      </c>
      <c r="B1" s="41"/>
    </row>
    <row r="2" spans="1:2">
      <c r="A2" s="1" t="s">
        <v>60</v>
      </c>
      <c r="B2" s="2" t="s">
        <v>61</v>
      </c>
    </row>
    <row r="3" spans="1:2">
      <c r="A3" s="2" t="s">
        <v>62</v>
      </c>
      <c r="B3" s="2" t="s">
        <v>63</v>
      </c>
    </row>
    <row r="4" spans="1:2">
      <c r="A4" s="2" t="s">
        <v>64</v>
      </c>
      <c r="B4" s="2" t="s">
        <v>65</v>
      </c>
    </row>
    <row r="5" spans="1:2">
      <c r="A5" s="2" t="s">
        <v>66</v>
      </c>
      <c r="B5" s="2" t="s">
        <v>67</v>
      </c>
    </row>
    <row r="6" spans="1:2">
      <c r="A6" s="2" t="s">
        <v>68</v>
      </c>
      <c r="B6" s="2" t="s">
        <v>69</v>
      </c>
    </row>
    <row r="7" spans="1:2">
      <c r="A7" s="2" t="s">
        <v>70</v>
      </c>
      <c r="B7" s="2" t="s">
        <v>71</v>
      </c>
    </row>
    <row r="8" spans="1:2">
      <c r="A8" s="2" t="s">
        <v>72</v>
      </c>
      <c r="B8" s="2" t="s">
        <v>73</v>
      </c>
    </row>
    <row r="9" spans="1:2">
      <c r="A9" s="2" t="s">
        <v>74</v>
      </c>
      <c r="B9" s="2" t="s">
        <v>75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3990-20DE-4B82-A3A4-491F3ACFC36C}">
  <sheetPr>
    <tabColor theme="9" tint="0.39997558519241921"/>
  </sheetPr>
  <dimension ref="A3:B11"/>
  <sheetViews>
    <sheetView workbookViewId="0">
      <selection activeCell="A3" sqref="A3:A9"/>
    </sheetView>
  </sheetViews>
  <sheetFormatPr defaultColWidth="11.42578125" defaultRowHeight="15"/>
  <cols>
    <col min="1" max="1" width="16.85546875" bestFit="1" customWidth="1"/>
    <col min="2" max="2" width="11.140625" bestFit="1" customWidth="1"/>
  </cols>
  <sheetData>
    <row r="3" spans="1:2">
      <c r="A3" s="39" t="s">
        <v>60</v>
      </c>
      <c r="B3" s="39" t="s">
        <v>76</v>
      </c>
    </row>
    <row r="4" spans="1:2">
      <c r="A4" s="34" t="s">
        <v>70</v>
      </c>
      <c r="B4">
        <v>1</v>
      </c>
    </row>
    <row r="5" spans="1:2">
      <c r="A5" s="34" t="s">
        <v>68</v>
      </c>
      <c r="B5">
        <v>1</v>
      </c>
    </row>
    <row r="6" spans="1:2">
      <c r="A6" s="34" t="s">
        <v>66</v>
      </c>
      <c r="B6">
        <v>1</v>
      </c>
    </row>
    <row r="7" spans="1:2">
      <c r="A7" s="34" t="s">
        <v>77</v>
      </c>
      <c r="B7">
        <v>1</v>
      </c>
    </row>
    <row r="8" spans="1:2">
      <c r="A8" s="34" t="s">
        <v>78</v>
      </c>
      <c r="B8">
        <v>2</v>
      </c>
    </row>
    <row r="9" spans="1:2">
      <c r="A9" s="34" t="s">
        <v>77</v>
      </c>
      <c r="B9">
        <v>2</v>
      </c>
    </row>
    <row r="10" spans="1:2">
      <c r="A10" s="34"/>
    </row>
    <row r="11" spans="1:2">
      <c r="A11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1CF6-39E7-4CDA-A527-747D0BB6AFAF}">
  <sheetPr>
    <tabColor theme="9" tint="0.39997558519241921"/>
  </sheetPr>
  <dimension ref="A3:B8"/>
  <sheetViews>
    <sheetView workbookViewId="0">
      <selection activeCell="A3" sqref="A3:A8"/>
    </sheetView>
  </sheetViews>
  <sheetFormatPr defaultColWidth="11.42578125" defaultRowHeight="15"/>
  <cols>
    <col min="1" max="1" width="16.85546875" bestFit="1" customWidth="1"/>
    <col min="2" max="2" width="47.5703125" bestFit="1" customWidth="1"/>
  </cols>
  <sheetData>
    <row r="3" spans="1:2">
      <c r="A3" s="3" t="s">
        <v>79</v>
      </c>
      <c r="B3" t="s">
        <v>80</v>
      </c>
    </row>
    <row r="4" spans="1:2">
      <c r="A4" s="34" t="s">
        <v>81</v>
      </c>
      <c r="B4" s="34" t="s">
        <v>82</v>
      </c>
    </row>
    <row r="5" spans="1:2">
      <c r="A5" s="34" t="s">
        <v>83</v>
      </c>
      <c r="B5" s="34" t="s">
        <v>84</v>
      </c>
    </row>
    <row r="6" spans="1:2">
      <c r="A6" s="34" t="s">
        <v>85</v>
      </c>
      <c r="B6" s="34" t="s">
        <v>86</v>
      </c>
    </row>
    <row r="7" spans="1:2">
      <c r="A7" s="34" t="s">
        <v>87</v>
      </c>
      <c r="B7" s="34" t="s">
        <v>88</v>
      </c>
    </row>
    <row r="8" spans="1:2">
      <c r="A8" s="34" t="s">
        <v>89</v>
      </c>
      <c r="B8" s="34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C2BC-AABE-432D-84A3-6F1912B47BB2}">
  <sheetPr>
    <tabColor theme="9" tint="0.39997558519241921"/>
  </sheetPr>
  <dimension ref="A3:B13"/>
  <sheetViews>
    <sheetView tabSelected="1" workbookViewId="0">
      <selection activeCell="D14" sqref="D14"/>
    </sheetView>
  </sheetViews>
  <sheetFormatPr defaultColWidth="11.42578125" defaultRowHeight="15"/>
  <cols>
    <col min="1" max="1" width="16.140625" bestFit="1" customWidth="1"/>
    <col min="2" max="2" width="12.140625" bestFit="1" customWidth="1"/>
  </cols>
  <sheetData>
    <row r="3" spans="1:2">
      <c r="A3" s="39" t="s">
        <v>60</v>
      </c>
      <c r="B3" s="3" t="s">
        <v>79</v>
      </c>
    </row>
    <row r="4" spans="1:2">
      <c r="A4" s="34" t="s">
        <v>66</v>
      </c>
      <c r="B4" s="34" t="s">
        <v>81</v>
      </c>
    </row>
    <row r="5" spans="1:2">
      <c r="A5" s="34" t="s">
        <v>66</v>
      </c>
      <c r="B5" s="34" t="s">
        <v>83</v>
      </c>
    </row>
    <row r="6" spans="1:2">
      <c r="A6" s="34" t="s">
        <v>66</v>
      </c>
      <c r="B6" s="34" t="s">
        <v>85</v>
      </c>
    </row>
    <row r="7" spans="1:2">
      <c r="A7" s="34" t="s">
        <v>66</v>
      </c>
      <c r="B7" s="34" t="s">
        <v>87</v>
      </c>
    </row>
    <row r="8" spans="1:2">
      <c r="A8" s="34" t="s">
        <v>66</v>
      </c>
      <c r="B8" s="34" t="s">
        <v>89</v>
      </c>
    </row>
    <row r="9" spans="1:2">
      <c r="A9" s="34" t="s">
        <v>77</v>
      </c>
      <c r="B9" s="34" t="s">
        <v>81</v>
      </c>
    </row>
    <row r="10" spans="1:2">
      <c r="A10" s="34" t="s">
        <v>77</v>
      </c>
      <c r="B10" s="34" t="s">
        <v>83</v>
      </c>
    </row>
    <row r="11" spans="1:2">
      <c r="A11" s="34" t="s">
        <v>77</v>
      </c>
      <c r="B11" s="34" t="s">
        <v>85</v>
      </c>
    </row>
    <row r="12" spans="1:2">
      <c r="A12" s="34" t="s">
        <v>77</v>
      </c>
      <c r="B12" s="34" t="s">
        <v>87</v>
      </c>
    </row>
    <row r="13" spans="1:2">
      <c r="A13" s="34" t="s">
        <v>77</v>
      </c>
      <c r="B13" s="34" t="s">
        <v>89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CA39-56A3-4455-A883-BB1907F67DEF}">
  <sheetPr>
    <tabColor theme="9" tint="0.39997558519241921"/>
  </sheetPr>
  <dimension ref="A1:B4"/>
  <sheetViews>
    <sheetView workbookViewId="0">
      <selection activeCell="B11" sqref="B11"/>
    </sheetView>
  </sheetViews>
  <sheetFormatPr defaultColWidth="11.42578125" defaultRowHeight="15"/>
  <cols>
    <col min="1" max="1" width="16.28515625" bestFit="1" customWidth="1"/>
    <col min="2" max="2" width="53.7109375" bestFit="1" customWidth="1"/>
  </cols>
  <sheetData>
    <row r="1" spans="1:2">
      <c r="A1" s="2" t="s">
        <v>91</v>
      </c>
      <c r="B1" s="2"/>
    </row>
    <row r="2" spans="1:2">
      <c r="A2" s="1" t="s">
        <v>92</v>
      </c>
      <c r="B2" s="2" t="s">
        <v>93</v>
      </c>
    </row>
    <row r="3" spans="1:2">
      <c r="A3" s="2" t="s">
        <v>94</v>
      </c>
      <c r="B3" s="2" t="s">
        <v>95</v>
      </c>
    </row>
    <row r="4" spans="1:2">
      <c r="A4" s="2" t="s">
        <v>96</v>
      </c>
      <c r="B4" s="2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164B-A896-4040-A881-5AD75CB7F19D}">
  <sheetPr>
    <tabColor theme="9" tint="0.39997558519241921"/>
  </sheetPr>
  <dimension ref="A1:B7"/>
  <sheetViews>
    <sheetView workbookViewId="0">
      <selection activeCell="C14" sqref="C14"/>
    </sheetView>
  </sheetViews>
  <sheetFormatPr defaultColWidth="11.42578125" defaultRowHeight="15"/>
  <cols>
    <col min="1" max="1" width="17.28515625" bestFit="1" customWidth="1"/>
    <col min="2" max="2" width="11.28515625" bestFit="1" customWidth="1"/>
  </cols>
  <sheetData>
    <row r="1" spans="1:2">
      <c r="A1" s="2" t="s">
        <v>98</v>
      </c>
      <c r="B1" s="2"/>
    </row>
    <row r="2" spans="1:2">
      <c r="A2" s="5" t="s">
        <v>8</v>
      </c>
      <c r="B2" s="1" t="s">
        <v>17</v>
      </c>
    </row>
    <row r="3" spans="1:2">
      <c r="A3" s="2" t="s">
        <v>14</v>
      </c>
      <c r="B3" s="2" t="s">
        <v>19</v>
      </c>
    </row>
    <row r="4" spans="1:2">
      <c r="A4" s="2" t="s">
        <v>14</v>
      </c>
      <c r="B4" s="2" t="s">
        <v>21</v>
      </c>
    </row>
    <row r="5" spans="1:2">
      <c r="A5" s="2" t="s">
        <v>14</v>
      </c>
      <c r="B5" s="2" t="s">
        <v>25</v>
      </c>
    </row>
    <row r="6" spans="1:2">
      <c r="A6" s="2" t="s">
        <v>10</v>
      </c>
      <c r="B6" s="2" t="s">
        <v>23</v>
      </c>
    </row>
    <row r="7" spans="1:2">
      <c r="A7" s="2" t="s">
        <v>12</v>
      </c>
      <c r="B7" s="2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3424-C7FC-428D-A43D-7FB06791A8FC}">
  <sheetPr>
    <tabColor theme="9" tint="0.39997558519241921"/>
  </sheetPr>
  <dimension ref="A1:F6"/>
  <sheetViews>
    <sheetView workbookViewId="0">
      <selection activeCell="F35" sqref="F35"/>
    </sheetView>
  </sheetViews>
  <sheetFormatPr defaultColWidth="9.140625" defaultRowHeight="15"/>
  <cols>
    <col min="1" max="1" width="18.7109375" bestFit="1" customWidth="1"/>
    <col min="2" max="3" width="12" bestFit="1" customWidth="1"/>
    <col min="4" max="5" width="12.28515625" bestFit="1" customWidth="1"/>
    <col min="6" max="6" width="19.28515625" bestFit="1" customWidth="1"/>
    <col min="8" max="8" width="10.7109375" bestFit="1" customWidth="1"/>
    <col min="9" max="9" width="11.28515625" bestFit="1" customWidth="1"/>
    <col min="10" max="10" width="11.7109375" bestFit="1" customWidth="1"/>
    <col min="11" max="11" width="11.5703125" bestFit="1" customWidth="1"/>
    <col min="12" max="12" width="12.140625" bestFit="1" customWidth="1"/>
    <col min="13" max="13" width="14.5703125" customWidth="1"/>
  </cols>
  <sheetData>
    <row r="1" spans="1:6">
      <c r="A1" s="2" t="s">
        <v>99</v>
      </c>
      <c r="B1" s="2"/>
      <c r="C1" s="2"/>
      <c r="D1" s="2"/>
      <c r="E1" s="2"/>
      <c r="F1" s="2"/>
    </row>
    <row r="2" spans="1:6">
      <c r="A2" s="36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2" t="s">
        <v>105</v>
      </c>
    </row>
    <row r="3" spans="1:6">
      <c r="A3" s="2" t="s">
        <v>106</v>
      </c>
      <c r="B3" s="2">
        <v>370</v>
      </c>
      <c r="C3" s="2">
        <v>370</v>
      </c>
      <c r="D3" s="2">
        <v>845</v>
      </c>
      <c r="E3" s="2">
        <v>1080</v>
      </c>
      <c r="F3" s="2">
        <v>130</v>
      </c>
    </row>
    <row r="4" spans="1:6">
      <c r="A4" s="2" t="s">
        <v>106</v>
      </c>
      <c r="B4" s="2">
        <v>845</v>
      </c>
      <c r="C4" s="2">
        <v>1080</v>
      </c>
      <c r="D4" s="2">
        <v>1320</v>
      </c>
      <c r="E4" s="2">
        <v>1320</v>
      </c>
      <c r="F4" s="2">
        <v>0</v>
      </c>
    </row>
    <row r="5" spans="1:6">
      <c r="A5" s="2" t="s">
        <v>107</v>
      </c>
      <c r="B5" s="2">
        <v>280</v>
      </c>
      <c r="C5" s="2">
        <v>568</v>
      </c>
      <c r="D5" s="2">
        <v>970</v>
      </c>
      <c r="E5" s="2">
        <v>1943</v>
      </c>
      <c r="F5" s="2">
        <v>130</v>
      </c>
    </row>
    <row r="6" spans="1:6">
      <c r="A6" s="2" t="s">
        <v>107</v>
      </c>
      <c r="B6" s="2">
        <v>970</v>
      </c>
      <c r="C6" s="2">
        <v>568</v>
      </c>
      <c r="D6" s="38">
        <v>1320</v>
      </c>
      <c r="E6" s="2">
        <v>1943</v>
      </c>
      <c r="F6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CBB6-2920-4AE6-BFB7-D4D9D7994E67}">
  <sheetPr>
    <tabColor theme="9" tint="0.39997558519241921"/>
  </sheetPr>
  <dimension ref="A2:B11"/>
  <sheetViews>
    <sheetView workbookViewId="0">
      <selection activeCell="A2" sqref="A2:B11"/>
    </sheetView>
  </sheetViews>
  <sheetFormatPr defaultColWidth="9.140625" defaultRowHeight="15"/>
  <cols>
    <col min="1" max="1" width="21" bestFit="1" customWidth="1"/>
    <col min="2" max="2" width="12" bestFit="1" customWidth="1"/>
    <col min="3" max="3" width="12.140625" bestFit="1" customWidth="1"/>
    <col min="5" max="5" width="18.7109375" bestFit="1" customWidth="1"/>
  </cols>
  <sheetData>
    <row r="2" spans="1:2">
      <c r="A2" s="1" t="s">
        <v>108</v>
      </c>
      <c r="B2" s="1" t="s">
        <v>1</v>
      </c>
    </row>
    <row r="3" spans="1:2">
      <c r="A3" s="35" t="s">
        <v>109</v>
      </c>
      <c r="B3" s="35" t="s">
        <v>3</v>
      </c>
    </row>
    <row r="4" spans="1:2">
      <c r="A4" s="38" t="s">
        <v>110</v>
      </c>
      <c r="B4" s="35" t="s">
        <v>3</v>
      </c>
    </row>
    <row r="5" spans="1:2">
      <c r="A5" s="38" t="s">
        <v>111</v>
      </c>
      <c r="B5" s="35" t="s">
        <v>3</v>
      </c>
    </row>
    <row r="6" spans="1:2">
      <c r="A6" s="38" t="s">
        <v>109</v>
      </c>
      <c r="B6" s="2" t="s">
        <v>5</v>
      </c>
    </row>
    <row r="7" spans="1:2">
      <c r="A7" s="38" t="s">
        <v>110</v>
      </c>
      <c r="B7" s="2" t="s">
        <v>5</v>
      </c>
    </row>
    <row r="8" spans="1:2">
      <c r="A8" s="38" t="s">
        <v>111</v>
      </c>
      <c r="B8" s="2" t="s">
        <v>5</v>
      </c>
    </row>
    <row r="9" spans="1:2">
      <c r="A9" s="2" t="s">
        <v>112</v>
      </c>
      <c r="B9" s="2" t="s">
        <v>3</v>
      </c>
    </row>
    <row r="10" spans="1:2">
      <c r="A10" s="2" t="s">
        <v>113</v>
      </c>
      <c r="B10" s="2" t="s">
        <v>3</v>
      </c>
    </row>
    <row r="11" spans="1:2">
      <c r="A11" s="2" t="s">
        <v>114</v>
      </c>
      <c r="B11" s="2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2D48-D271-40E7-9293-1EB313CAF228}">
  <sheetPr>
    <tabColor theme="9" tint="0.39997558519241921"/>
  </sheetPr>
  <dimension ref="A2:B23"/>
  <sheetViews>
    <sheetView zoomScale="130" zoomScaleNormal="130" workbookViewId="0">
      <selection activeCell="B2" sqref="B2:B23"/>
    </sheetView>
  </sheetViews>
  <sheetFormatPr defaultColWidth="9.140625" defaultRowHeight="15"/>
  <cols>
    <col min="1" max="1" width="11.28515625" bestFit="1" customWidth="1"/>
    <col min="2" max="2" width="21.28515625" bestFit="1" customWidth="1"/>
  </cols>
  <sheetData>
    <row r="2" spans="1:2">
      <c r="A2" s="5" t="s">
        <v>8</v>
      </c>
      <c r="B2" s="1" t="s">
        <v>108</v>
      </c>
    </row>
    <row r="3" spans="1:2">
      <c r="A3" s="4" t="s">
        <v>19</v>
      </c>
      <c r="B3" s="38" t="s">
        <v>109</v>
      </c>
    </row>
    <row r="4" spans="1:2">
      <c r="A4" s="4" t="s">
        <v>19</v>
      </c>
      <c r="B4" s="38" t="s">
        <v>110</v>
      </c>
    </row>
    <row r="5" spans="1:2">
      <c r="A5" s="4" t="s">
        <v>19</v>
      </c>
      <c r="B5" s="38" t="s">
        <v>111</v>
      </c>
    </row>
    <row r="6" spans="1:2">
      <c r="A6" s="4" t="s">
        <v>19</v>
      </c>
      <c r="B6" s="2" t="s">
        <v>112</v>
      </c>
    </row>
    <row r="7" spans="1:2">
      <c r="A7" s="4" t="s">
        <v>19</v>
      </c>
      <c r="B7" s="2" t="s">
        <v>113</v>
      </c>
    </row>
    <row r="8" spans="1:2">
      <c r="A8" s="4" t="s">
        <v>19</v>
      </c>
      <c r="B8" s="2" t="s">
        <v>114</v>
      </c>
    </row>
    <row r="9" spans="1:2">
      <c r="A9" s="4" t="s">
        <v>21</v>
      </c>
      <c r="B9" s="38" t="s">
        <v>109</v>
      </c>
    </row>
    <row r="10" spans="1:2">
      <c r="A10" s="4" t="s">
        <v>21</v>
      </c>
      <c r="B10" s="38" t="s">
        <v>110</v>
      </c>
    </row>
    <row r="11" spans="1:2">
      <c r="A11" s="4" t="s">
        <v>21</v>
      </c>
      <c r="B11" s="38" t="s">
        <v>111</v>
      </c>
    </row>
    <row r="12" spans="1:2">
      <c r="A12" s="4" t="s">
        <v>21</v>
      </c>
      <c r="B12" s="2" t="s">
        <v>112</v>
      </c>
    </row>
    <row r="13" spans="1:2">
      <c r="A13" s="4" t="s">
        <v>21</v>
      </c>
      <c r="B13" s="2" t="s">
        <v>113</v>
      </c>
    </row>
    <row r="14" spans="1:2">
      <c r="A14" s="4" t="s">
        <v>21</v>
      </c>
      <c r="B14" s="2" t="s">
        <v>114</v>
      </c>
    </row>
    <row r="15" spans="1:2">
      <c r="A15" s="4" t="s">
        <v>115</v>
      </c>
      <c r="B15" s="38" t="s">
        <v>109</v>
      </c>
    </row>
    <row r="16" spans="1:2">
      <c r="A16" s="4" t="s">
        <v>115</v>
      </c>
      <c r="B16" s="38" t="s">
        <v>110</v>
      </c>
    </row>
    <row r="17" spans="1:2">
      <c r="A17" s="4" t="s">
        <v>115</v>
      </c>
      <c r="B17" s="38" t="s">
        <v>111</v>
      </c>
    </row>
    <row r="18" spans="1:2">
      <c r="A18" s="4" t="s">
        <v>14</v>
      </c>
      <c r="B18" s="38" t="s">
        <v>109</v>
      </c>
    </row>
    <row r="19" spans="1:2">
      <c r="A19" s="4" t="s">
        <v>14</v>
      </c>
      <c r="B19" s="38" t="s">
        <v>110</v>
      </c>
    </row>
    <row r="20" spans="1:2">
      <c r="A20" s="4" t="s">
        <v>14</v>
      </c>
      <c r="B20" s="38" t="s">
        <v>111</v>
      </c>
    </row>
    <row r="21" spans="1:2">
      <c r="A21" s="4" t="s">
        <v>14</v>
      </c>
      <c r="B21" s="2" t="s">
        <v>112</v>
      </c>
    </row>
    <row r="22" spans="1:2">
      <c r="A22" s="4" t="s">
        <v>14</v>
      </c>
      <c r="B22" s="2" t="s">
        <v>113</v>
      </c>
    </row>
    <row r="23" spans="1:2">
      <c r="A23" s="4" t="s">
        <v>14</v>
      </c>
      <c r="B23" s="2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FBAB-E261-475D-8A07-AD855B8F39F5}">
  <sheetPr>
    <tabColor theme="9" tint="0.39997558519241921"/>
  </sheetPr>
  <dimension ref="A1:H5"/>
  <sheetViews>
    <sheetView zoomScale="130" zoomScaleNormal="130" workbookViewId="0">
      <selection activeCell="C2" sqref="C2"/>
    </sheetView>
  </sheetViews>
  <sheetFormatPr defaultColWidth="11.42578125" defaultRowHeight="15"/>
  <cols>
    <col min="1" max="1" width="11.140625" bestFit="1" customWidth="1"/>
    <col min="2" max="2" width="21.42578125" bestFit="1" customWidth="1"/>
    <col min="3" max="3" width="11" bestFit="1" customWidth="1"/>
    <col min="4" max="4" width="11.140625" bestFit="1" customWidth="1"/>
    <col min="5" max="5" width="11.5703125" bestFit="1" customWidth="1"/>
    <col min="7" max="7" width="11.85546875" bestFit="1" customWidth="1"/>
    <col min="8" max="8" width="20.85546875" bestFit="1" customWidth="1"/>
  </cols>
  <sheetData>
    <row r="1" spans="1:8">
      <c r="A1" s="42" t="s">
        <v>116</v>
      </c>
      <c r="B1" s="42"/>
      <c r="C1" s="42"/>
      <c r="D1" s="42"/>
      <c r="E1" s="42"/>
      <c r="F1" s="42"/>
      <c r="G1" s="42"/>
      <c r="H1" s="34"/>
    </row>
    <row r="2" spans="1:8">
      <c r="A2" s="5" t="s">
        <v>100</v>
      </c>
      <c r="B2" s="4" t="s">
        <v>117</v>
      </c>
      <c r="C2" s="4" t="s">
        <v>76</v>
      </c>
      <c r="D2" s="4" t="s">
        <v>118</v>
      </c>
      <c r="E2" s="4" t="s">
        <v>119</v>
      </c>
      <c r="F2" s="4" t="s">
        <v>120</v>
      </c>
      <c r="G2" s="4" t="s">
        <v>121</v>
      </c>
    </row>
    <row r="3" spans="1:8">
      <c r="A3" s="4" t="s">
        <v>106</v>
      </c>
      <c r="B3" s="4" t="s">
        <v>122</v>
      </c>
      <c r="C3" s="4">
        <v>1</v>
      </c>
      <c r="D3" s="4">
        <v>300</v>
      </c>
      <c r="E3" s="4">
        <v>300</v>
      </c>
      <c r="F3" s="4">
        <v>1250</v>
      </c>
      <c r="G3" s="4">
        <v>1250</v>
      </c>
    </row>
    <row r="4" spans="1:8">
      <c r="A4" s="4" t="s">
        <v>107</v>
      </c>
      <c r="B4" s="4" t="s">
        <v>123</v>
      </c>
      <c r="C4" s="4">
        <v>2</v>
      </c>
      <c r="D4" s="4">
        <v>500</v>
      </c>
      <c r="E4" s="4">
        <v>500</v>
      </c>
      <c r="F4" s="4">
        <v>1875</v>
      </c>
      <c r="G4" s="4">
        <v>1875</v>
      </c>
    </row>
    <row r="5" spans="1:8">
      <c r="A5" s="4" t="s">
        <v>124</v>
      </c>
      <c r="B5" s="4" t="s">
        <v>125</v>
      </c>
      <c r="C5" s="4">
        <v>2</v>
      </c>
      <c r="D5" s="4">
        <v>1875</v>
      </c>
      <c r="E5" s="4">
        <v>500</v>
      </c>
      <c r="F5" s="4">
        <v>2575</v>
      </c>
      <c r="G5" s="4">
        <v>1875</v>
      </c>
    </row>
  </sheetData>
  <mergeCells count="1"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1F18-6584-4C7E-9950-19153E1713C0}">
  <sheetPr>
    <tabColor theme="9" tint="0.39997558519241921"/>
  </sheetPr>
  <dimension ref="A1:C4"/>
  <sheetViews>
    <sheetView workbookViewId="0">
      <selection activeCell="L32" sqref="L32"/>
    </sheetView>
  </sheetViews>
  <sheetFormatPr defaultColWidth="11.42578125" defaultRowHeight="15"/>
  <cols>
    <col min="1" max="1" width="13.85546875" bestFit="1" customWidth="1"/>
    <col min="2" max="2" width="13.140625" bestFit="1" customWidth="1"/>
    <col min="3" max="3" width="13.85546875" bestFit="1" customWidth="1"/>
    <col min="4" max="4" width="14.5703125" bestFit="1" customWidth="1"/>
  </cols>
  <sheetData>
    <row r="1" spans="1:3">
      <c r="A1" s="2" t="s">
        <v>126</v>
      </c>
      <c r="B1" s="2"/>
      <c r="C1" s="2"/>
    </row>
    <row r="2" spans="1:3">
      <c r="A2" s="1" t="s">
        <v>127</v>
      </c>
      <c r="B2" s="2" t="s">
        <v>128</v>
      </c>
      <c r="C2" s="2" t="s">
        <v>129</v>
      </c>
    </row>
    <row r="3" spans="1:3">
      <c r="A3" s="2" t="s">
        <v>130</v>
      </c>
      <c r="B3" s="2" t="s">
        <v>131</v>
      </c>
      <c r="C3" s="2">
        <v>2.4174000000000002</v>
      </c>
    </row>
    <row r="4" spans="1:3">
      <c r="A4" s="2" t="s">
        <v>132</v>
      </c>
      <c r="B4" s="2" t="s">
        <v>133</v>
      </c>
      <c r="C4" s="2">
        <v>4.0763999999999996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7255-7CDF-4145-9CDA-0C163727D192}">
  <sheetPr>
    <tabColor theme="9" tint="0.39997558519241921"/>
  </sheetPr>
  <dimension ref="A1:I8"/>
  <sheetViews>
    <sheetView zoomScale="115" zoomScaleNormal="115" workbookViewId="0">
      <selection activeCell="F12" sqref="F12"/>
    </sheetView>
  </sheetViews>
  <sheetFormatPr defaultColWidth="11.42578125" defaultRowHeight="15"/>
  <cols>
    <col min="1" max="1" width="15.5703125" bestFit="1" customWidth="1"/>
    <col min="2" max="2" width="37.5703125" bestFit="1" customWidth="1"/>
    <col min="3" max="3" width="15.140625" bestFit="1" customWidth="1"/>
    <col min="4" max="4" width="15.7109375" bestFit="1" customWidth="1"/>
    <col min="5" max="7" width="11.42578125" customWidth="1"/>
  </cols>
  <sheetData>
    <row r="1" spans="1:9">
      <c r="A1" s="41" t="s">
        <v>134</v>
      </c>
      <c r="B1" s="41"/>
      <c r="C1" s="41"/>
      <c r="D1" s="41"/>
    </row>
    <row r="2" spans="1:9">
      <c r="A2" s="1" t="s">
        <v>135</v>
      </c>
      <c r="B2" s="2" t="s">
        <v>136</v>
      </c>
      <c r="C2" s="2" t="s">
        <v>137</v>
      </c>
      <c r="D2" s="32" t="s">
        <v>138</v>
      </c>
    </row>
    <row r="3" spans="1:9">
      <c r="A3" s="2" t="s">
        <v>139</v>
      </c>
      <c r="B3" s="2" t="s">
        <v>140</v>
      </c>
      <c r="C3" s="2">
        <v>12</v>
      </c>
      <c r="D3" s="2">
        <v>15</v>
      </c>
    </row>
    <row r="4" spans="1:9">
      <c r="A4" s="2" t="s">
        <v>141</v>
      </c>
      <c r="B4" s="2" t="s">
        <v>142</v>
      </c>
      <c r="C4" s="2">
        <v>10.6</v>
      </c>
      <c r="D4" s="2">
        <v>13</v>
      </c>
    </row>
    <row r="5" spans="1:9">
      <c r="A5" s="2" t="s">
        <v>143</v>
      </c>
      <c r="B5" s="2" t="s">
        <v>144</v>
      </c>
      <c r="C5" s="2">
        <v>13.05</v>
      </c>
      <c r="D5" s="2">
        <v>15</v>
      </c>
    </row>
    <row r="6" spans="1:9">
      <c r="A6" s="2" t="s">
        <v>145</v>
      </c>
      <c r="B6" s="2" t="s">
        <v>146</v>
      </c>
      <c r="C6" s="2">
        <v>17.399999999999999</v>
      </c>
      <c r="D6" s="2">
        <v>20</v>
      </c>
    </row>
    <row r="7" spans="1:9">
      <c r="A7" s="2" t="s">
        <v>147</v>
      </c>
      <c r="B7" s="2" t="s">
        <v>148</v>
      </c>
      <c r="C7" s="2">
        <v>7.85</v>
      </c>
      <c r="D7" s="2">
        <v>1</v>
      </c>
    </row>
    <row r="8" spans="1:9">
      <c r="A8" s="2" t="s">
        <v>149</v>
      </c>
      <c r="B8" s="2" t="s">
        <v>150</v>
      </c>
      <c r="C8" s="2">
        <v>15.7</v>
      </c>
      <c r="D8" s="2">
        <v>2</v>
      </c>
      <c r="H8" s="34"/>
      <c r="I8" s="34"/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0EDB-60CD-4D9B-A43C-61A31B630D58}">
  <sheetPr>
    <tabColor theme="9" tint="0.39997558519241921"/>
  </sheetPr>
  <dimension ref="A1:D7"/>
  <sheetViews>
    <sheetView zoomScale="115" zoomScaleNormal="115" workbookViewId="0">
      <selection activeCell="C9" sqref="C9"/>
    </sheetView>
  </sheetViews>
  <sheetFormatPr defaultColWidth="11.42578125" defaultRowHeight="15"/>
  <cols>
    <col min="1" max="1" width="55.5703125" bestFit="1" customWidth="1"/>
    <col min="2" max="2" width="45.42578125" bestFit="1" customWidth="1"/>
    <col min="3" max="3" width="17.140625" bestFit="1" customWidth="1"/>
    <col min="6" max="6" width="55.5703125" bestFit="1" customWidth="1"/>
    <col min="7" max="7" width="45.42578125" bestFit="1" customWidth="1"/>
    <col min="8" max="8" width="17.140625" bestFit="1" customWidth="1"/>
    <col min="9" max="9" width="9.5703125" bestFit="1" customWidth="1"/>
  </cols>
  <sheetData>
    <row r="1" spans="1:4">
      <c r="A1" s="2" t="s">
        <v>151</v>
      </c>
      <c r="B1" s="2"/>
      <c r="C1" s="2"/>
      <c r="D1" s="2"/>
    </row>
    <row r="2" spans="1:4">
      <c r="A2" s="2" t="s">
        <v>152</v>
      </c>
      <c r="B2" s="2" t="s">
        <v>153</v>
      </c>
      <c r="C2" s="31" t="s">
        <v>154</v>
      </c>
      <c r="D2" s="31" t="s">
        <v>155</v>
      </c>
    </row>
    <row r="3" spans="1:4">
      <c r="A3" s="2" t="s">
        <v>156</v>
      </c>
      <c r="B3" s="2" t="s">
        <v>157</v>
      </c>
      <c r="C3" s="2">
        <v>89</v>
      </c>
      <c r="D3" s="2" t="s">
        <v>158</v>
      </c>
    </row>
    <row r="4" spans="1:4">
      <c r="A4" s="2" t="s">
        <v>159</v>
      </c>
      <c r="B4" s="2" t="s">
        <v>160</v>
      </c>
      <c r="C4" s="2">
        <v>3</v>
      </c>
      <c r="D4" s="2" t="s">
        <v>158</v>
      </c>
    </row>
    <row r="5" spans="1:4">
      <c r="A5" s="2" t="s">
        <v>161</v>
      </c>
      <c r="B5" s="2" t="s">
        <v>162</v>
      </c>
      <c r="C5" s="2">
        <v>3</v>
      </c>
      <c r="D5" s="2" t="s">
        <v>158</v>
      </c>
    </row>
    <row r="6" spans="1:4">
      <c r="A6" s="2" t="s">
        <v>163</v>
      </c>
      <c r="B6" s="2" t="s">
        <v>164</v>
      </c>
      <c r="C6" s="2">
        <v>6</v>
      </c>
      <c r="D6" s="2" t="s">
        <v>158</v>
      </c>
    </row>
    <row r="7" spans="1:4">
      <c r="A7" s="2" t="s">
        <v>165</v>
      </c>
      <c r="B7" s="2" t="s">
        <v>166</v>
      </c>
      <c r="C7" s="2">
        <v>60</v>
      </c>
      <c r="D7" s="2" t="s">
        <v>158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60F1-45F5-4246-A1C4-B9FA529B0282}">
  <sheetPr>
    <tabColor theme="9" tint="0.39997558519241921"/>
  </sheetPr>
  <dimension ref="A1:G25"/>
  <sheetViews>
    <sheetView zoomScale="145" zoomScaleNormal="145" workbookViewId="0">
      <selection activeCell="C4" sqref="C4"/>
    </sheetView>
  </sheetViews>
  <sheetFormatPr defaultColWidth="11.42578125" defaultRowHeight="15"/>
  <cols>
    <col min="1" max="1" width="39.28515625" bestFit="1" customWidth="1"/>
    <col min="2" max="2" width="56" bestFit="1" customWidth="1"/>
    <col min="3" max="3" width="105.85546875" bestFit="1" customWidth="1"/>
    <col min="4" max="4" width="21.5703125" bestFit="1" customWidth="1"/>
  </cols>
  <sheetData>
    <row r="1" spans="1:7">
      <c r="A1" s="2" t="s">
        <v>167</v>
      </c>
      <c r="B1" s="2"/>
      <c r="C1" s="2"/>
      <c r="D1" s="2"/>
    </row>
    <row r="2" spans="1:7">
      <c r="A2" s="1" t="s">
        <v>168</v>
      </c>
      <c r="B2" s="2" t="s">
        <v>169</v>
      </c>
      <c r="C2" s="2"/>
      <c r="D2" s="2" t="s">
        <v>170</v>
      </c>
    </row>
    <row r="3" spans="1:7">
      <c r="A3" s="2" t="s">
        <v>171</v>
      </c>
      <c r="B3" s="2" t="s">
        <v>172</v>
      </c>
      <c r="C3" s="2" t="s">
        <v>173</v>
      </c>
      <c r="D3" s="2"/>
    </row>
    <row r="4" spans="1:7">
      <c r="A4" s="2" t="s">
        <v>174</v>
      </c>
      <c r="B4" s="2" t="s">
        <v>175</v>
      </c>
      <c r="C4" s="2" t="s">
        <v>176</v>
      </c>
      <c r="D4" s="2"/>
      <c r="G4">
        <v>0</v>
      </c>
    </row>
    <row r="5" spans="1:7">
      <c r="A5" s="2" t="s">
        <v>177</v>
      </c>
      <c r="B5" s="2" t="s">
        <v>178</v>
      </c>
      <c r="C5" s="37" t="s">
        <v>179</v>
      </c>
      <c r="D5" s="2"/>
      <c r="G5">
        <v>1</v>
      </c>
    </row>
    <row r="6" spans="1:7">
      <c r="A6" s="2" t="s">
        <v>180</v>
      </c>
      <c r="B6" s="2" t="s">
        <v>181</v>
      </c>
      <c r="C6" s="37" t="s">
        <v>182</v>
      </c>
      <c r="D6" s="2"/>
    </row>
    <row r="7" spans="1:7">
      <c r="A7" s="2" t="s">
        <v>183</v>
      </c>
      <c r="B7" s="2" t="s">
        <v>184</v>
      </c>
      <c r="C7" s="37" t="s">
        <v>185</v>
      </c>
      <c r="D7" s="2"/>
    </row>
    <row r="8" spans="1:7">
      <c r="A8" s="2" t="s">
        <v>186</v>
      </c>
      <c r="B8" s="2" t="s">
        <v>187</v>
      </c>
      <c r="C8" s="37" t="s">
        <v>188</v>
      </c>
      <c r="D8" s="2"/>
    </row>
    <row r="9" spans="1:7">
      <c r="A9" s="2" t="s">
        <v>189</v>
      </c>
      <c r="B9" s="2" t="s">
        <v>190</v>
      </c>
      <c r="C9" s="37" t="s">
        <v>191</v>
      </c>
      <c r="D9" s="2"/>
    </row>
    <row r="10" spans="1:7">
      <c r="A10" s="2" t="s">
        <v>192</v>
      </c>
      <c r="B10" s="2" t="s">
        <v>193</v>
      </c>
      <c r="C10" s="2" t="s">
        <v>194</v>
      </c>
      <c r="D10" s="2"/>
    </row>
    <row r="11" spans="1:7">
      <c r="A11" s="2" t="s">
        <v>195</v>
      </c>
      <c r="B11" s="2" t="s">
        <v>196</v>
      </c>
      <c r="C11" s="2" t="s">
        <v>197</v>
      </c>
      <c r="D11" s="2"/>
    </row>
    <row r="12" spans="1:7">
      <c r="A12" s="2" t="s">
        <v>198</v>
      </c>
      <c r="B12" s="2" t="s">
        <v>199</v>
      </c>
      <c r="C12" s="2" t="s">
        <v>200</v>
      </c>
      <c r="D12" s="2"/>
    </row>
    <row r="13" spans="1:7">
      <c r="A13" s="2" t="s">
        <v>201</v>
      </c>
      <c r="B13" s="2" t="s">
        <v>202</v>
      </c>
      <c r="C13" s="2" t="s">
        <v>203</v>
      </c>
      <c r="D13" s="2"/>
    </row>
    <row r="14" spans="1:7">
      <c r="A14" s="2" t="s">
        <v>204</v>
      </c>
      <c r="B14" s="2" t="s">
        <v>205</v>
      </c>
      <c r="C14" s="2" t="s">
        <v>206</v>
      </c>
      <c r="D14" s="2"/>
    </row>
    <row r="15" spans="1:7">
      <c r="A15" s="2" t="s">
        <v>207</v>
      </c>
      <c r="B15" s="2" t="s">
        <v>208</v>
      </c>
      <c r="C15" s="2" t="s">
        <v>209</v>
      </c>
      <c r="D15" s="2"/>
    </row>
    <row r="16" spans="1:7">
      <c r="A16" s="2" t="s">
        <v>210</v>
      </c>
      <c r="B16" s="2" t="s">
        <v>211</v>
      </c>
      <c r="C16" s="2" t="s">
        <v>212</v>
      </c>
      <c r="D16" s="2"/>
    </row>
    <row r="17" spans="1:4">
      <c r="A17" s="2" t="s">
        <v>213</v>
      </c>
      <c r="B17" s="2" t="s">
        <v>214</v>
      </c>
      <c r="C17" s="2" t="s">
        <v>215</v>
      </c>
      <c r="D17" s="2"/>
    </row>
    <row r="18" spans="1:4">
      <c r="A18" s="2" t="s">
        <v>216</v>
      </c>
      <c r="B18" s="2" t="s">
        <v>217</v>
      </c>
      <c r="C18" s="2" t="s">
        <v>218</v>
      </c>
      <c r="D18" s="2"/>
    </row>
    <row r="19" spans="1:4">
      <c r="A19" s="2" t="s">
        <v>219</v>
      </c>
      <c r="B19" s="2" t="s">
        <v>220</v>
      </c>
      <c r="C19" s="2" t="s">
        <v>221</v>
      </c>
      <c r="D19" s="2"/>
    </row>
    <row r="20" spans="1:4">
      <c r="A20" s="2" t="s">
        <v>222</v>
      </c>
      <c r="B20" s="2" t="s">
        <v>223</v>
      </c>
      <c r="C20" s="2" t="s">
        <v>224</v>
      </c>
      <c r="D20" s="2"/>
    </row>
    <row r="21" spans="1:4">
      <c r="A21" s="2" t="s">
        <v>225</v>
      </c>
      <c r="B21" s="2" t="s">
        <v>226</v>
      </c>
      <c r="C21" s="2" t="s">
        <v>227</v>
      </c>
      <c r="D21" s="2"/>
    </row>
    <row r="22" spans="1:4">
      <c r="A22" s="2" t="s">
        <v>228</v>
      </c>
      <c r="B22" s="2" t="s">
        <v>229</v>
      </c>
      <c r="C22" s="2" t="s">
        <v>230</v>
      </c>
      <c r="D22" s="2" t="s">
        <v>231</v>
      </c>
    </row>
    <row r="23" spans="1:4">
      <c r="A23" s="2" t="s">
        <v>232</v>
      </c>
      <c r="B23" s="2" t="s">
        <v>233</v>
      </c>
      <c r="C23" s="2" t="s">
        <v>234</v>
      </c>
      <c r="D23" s="2"/>
    </row>
    <row r="24" spans="1:4">
      <c r="A24" s="2" t="s">
        <v>235</v>
      </c>
      <c r="B24" s="2" t="s">
        <v>236</v>
      </c>
      <c r="C24" s="2" t="s">
        <v>237</v>
      </c>
      <c r="D24" s="2"/>
    </row>
    <row r="25" spans="1:4">
      <c r="A25" s="2" t="s">
        <v>238</v>
      </c>
      <c r="B25" s="2" t="s">
        <v>239</v>
      </c>
      <c r="C25" s="2" t="s">
        <v>240</v>
      </c>
      <c r="D25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295B-42D1-42EA-90A7-F65EA87143CC}">
  <sheetPr>
    <tabColor theme="9" tint="0.39997558519241921"/>
  </sheetPr>
  <dimension ref="A1:H11"/>
  <sheetViews>
    <sheetView workbookViewId="0">
      <selection activeCell="J5" sqref="J5"/>
    </sheetView>
  </sheetViews>
  <sheetFormatPr defaultColWidth="11.42578125" defaultRowHeight="15"/>
  <cols>
    <col min="1" max="1" width="10.7109375" bestFit="1" customWidth="1"/>
    <col min="2" max="3" width="14.7109375" bestFit="1" customWidth="1"/>
    <col min="4" max="4" width="15.140625" bestFit="1" customWidth="1"/>
    <col min="5" max="5" width="16.85546875" bestFit="1" customWidth="1"/>
    <col min="6" max="6" width="12" bestFit="1" customWidth="1"/>
    <col min="7" max="7" width="8" bestFit="1" customWidth="1"/>
    <col min="8" max="8" width="10.140625" bestFit="1" customWidth="1"/>
  </cols>
  <sheetData>
    <row r="1" spans="1:8">
      <c r="A1" s="42" t="s">
        <v>241</v>
      </c>
      <c r="B1" s="42"/>
      <c r="C1" s="42"/>
      <c r="D1" s="42"/>
      <c r="E1" s="42"/>
      <c r="F1" s="2"/>
      <c r="G1" s="2"/>
      <c r="H1" s="2"/>
    </row>
    <row r="2" spans="1:8">
      <c r="A2" s="5" t="s">
        <v>100</v>
      </c>
      <c r="B2" s="5" t="s">
        <v>127</v>
      </c>
      <c r="C2" s="4" t="s">
        <v>242</v>
      </c>
      <c r="D2" s="2" t="s">
        <v>243</v>
      </c>
      <c r="E2" s="4" t="s">
        <v>244</v>
      </c>
      <c r="F2" s="4" t="s">
        <v>245</v>
      </c>
      <c r="G2" s="4" t="s">
        <v>246</v>
      </c>
      <c r="H2" s="35" t="s">
        <v>247</v>
      </c>
    </row>
    <row r="3" spans="1:8">
      <c r="A3" s="4" t="s">
        <v>106</v>
      </c>
      <c r="B3" s="4" t="s">
        <v>130</v>
      </c>
      <c r="C3" s="4">
        <v>140</v>
      </c>
      <c r="D3" s="2">
        <v>140</v>
      </c>
      <c r="E3" s="4">
        <v>45.5</v>
      </c>
      <c r="F3" s="4">
        <v>80</v>
      </c>
      <c r="G3" s="4">
        <v>0</v>
      </c>
      <c r="H3" s="2">
        <v>70</v>
      </c>
    </row>
    <row r="4" spans="1:8">
      <c r="A4" s="4" t="s">
        <v>106</v>
      </c>
      <c r="B4" s="4" t="s">
        <v>132</v>
      </c>
      <c r="C4" s="4">
        <v>80</v>
      </c>
      <c r="D4" s="2">
        <v>90</v>
      </c>
      <c r="E4" s="4">
        <v>45.5</v>
      </c>
      <c r="F4" s="4">
        <v>220</v>
      </c>
      <c r="G4" s="4">
        <v>90</v>
      </c>
      <c r="H4" s="2">
        <v>70</v>
      </c>
    </row>
    <row r="5" spans="1:8">
      <c r="A5" s="4" t="s">
        <v>107</v>
      </c>
      <c r="B5" s="4" t="s">
        <v>130</v>
      </c>
      <c r="C5" s="4">
        <v>140</v>
      </c>
      <c r="D5" s="2">
        <v>140</v>
      </c>
      <c r="E5" s="4">
        <v>45.5</v>
      </c>
      <c r="F5" s="4">
        <v>80</v>
      </c>
      <c r="G5" s="2">
        <v>0</v>
      </c>
      <c r="H5" s="2">
        <v>68</v>
      </c>
    </row>
    <row r="6" spans="1:8">
      <c r="A6" s="4" t="s">
        <v>107</v>
      </c>
      <c r="B6" s="4" t="s">
        <v>132</v>
      </c>
      <c r="C6" s="4">
        <v>80</v>
      </c>
      <c r="D6" s="2">
        <v>90</v>
      </c>
      <c r="E6" s="4">
        <v>45.5</v>
      </c>
      <c r="F6" s="4">
        <v>220</v>
      </c>
      <c r="G6" s="4">
        <v>90</v>
      </c>
      <c r="H6" s="2">
        <v>68</v>
      </c>
    </row>
    <row r="9" spans="1:8">
      <c r="A9" s="40" t="s">
        <v>248</v>
      </c>
      <c r="B9" s="40"/>
      <c r="C9" s="40"/>
      <c r="D9" s="40"/>
      <c r="E9" s="40"/>
      <c r="F9" s="40"/>
      <c r="G9" s="40"/>
      <c r="H9" s="40"/>
    </row>
    <row r="11" spans="1:8">
      <c r="A11" s="40" t="s">
        <v>249</v>
      </c>
      <c r="B11" s="40"/>
      <c r="C11" s="40"/>
      <c r="D11" s="40"/>
      <c r="E11" s="40"/>
      <c r="F11" s="40"/>
      <c r="G11" s="40"/>
      <c r="H11" s="40"/>
    </row>
  </sheetData>
  <mergeCells count="3">
    <mergeCell ref="A1:E1"/>
    <mergeCell ref="A9:H9"/>
    <mergeCell ref="A11:H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7847-7E54-432E-86B2-9EE7FE89E4E1}">
  <sheetPr>
    <tabColor theme="9" tint="0.39997558519241921"/>
  </sheetPr>
  <dimension ref="A1:B5"/>
  <sheetViews>
    <sheetView zoomScale="145" zoomScaleNormal="145" workbookViewId="0">
      <selection activeCell="P13" sqref="P13"/>
    </sheetView>
  </sheetViews>
  <sheetFormatPr defaultColWidth="11.42578125" defaultRowHeight="15"/>
  <cols>
    <col min="1" max="1" width="12.28515625" bestFit="1" customWidth="1"/>
    <col min="2" max="2" width="16.140625" bestFit="1" customWidth="1"/>
  </cols>
  <sheetData>
    <row r="1" spans="1:2">
      <c r="A1" s="2" t="s">
        <v>250</v>
      </c>
      <c r="B1" s="2"/>
    </row>
    <row r="2" spans="1:2">
      <c r="A2" s="1" t="s">
        <v>1</v>
      </c>
      <c r="B2" s="1" t="s">
        <v>53</v>
      </c>
    </row>
    <row r="3" spans="1:2">
      <c r="A3" s="2" t="s">
        <v>3</v>
      </c>
      <c r="B3" s="2" t="s">
        <v>55</v>
      </c>
    </row>
    <row r="4" spans="1:2">
      <c r="A4" s="2" t="s">
        <v>5</v>
      </c>
      <c r="B4" s="2" t="s">
        <v>57</v>
      </c>
    </row>
    <row r="5" spans="1:2">
      <c r="A5" s="2" t="s">
        <v>3</v>
      </c>
      <c r="B5" s="2" t="s">
        <v>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D225-356D-43CD-ADA9-4F46AB6FAF7D}">
  <sheetPr>
    <tabColor theme="9" tint="0.39997558519241921"/>
  </sheetPr>
  <dimension ref="A1:F10"/>
  <sheetViews>
    <sheetView zoomScale="145" zoomScaleNormal="145" workbookViewId="0">
      <selection activeCell="F10" sqref="F10"/>
    </sheetView>
  </sheetViews>
  <sheetFormatPr defaultColWidth="11.42578125" defaultRowHeight="15"/>
  <cols>
    <col min="3" max="3" width="14.7109375" bestFit="1" customWidth="1"/>
    <col min="4" max="4" width="12" bestFit="1" customWidth="1"/>
  </cols>
  <sheetData>
    <row r="1" spans="1:6">
      <c r="A1" s="41" t="s">
        <v>251</v>
      </c>
      <c r="B1" s="41"/>
      <c r="C1" s="41"/>
      <c r="D1" s="2"/>
    </row>
    <row r="2" spans="1:6">
      <c r="A2" s="1" t="s">
        <v>252</v>
      </c>
      <c r="B2" s="1" t="s">
        <v>53</v>
      </c>
      <c r="C2" s="1" t="s">
        <v>127</v>
      </c>
      <c r="D2" s="1" t="s">
        <v>1</v>
      </c>
      <c r="F2" s="3"/>
    </row>
    <row r="3" spans="1:6">
      <c r="A3" s="2" t="s">
        <v>46</v>
      </c>
      <c r="B3" s="2" t="s">
        <v>57</v>
      </c>
      <c r="C3" s="2" t="s">
        <v>130</v>
      </c>
      <c r="D3" s="2" t="s">
        <v>5</v>
      </c>
    </row>
    <row r="4" spans="1:6">
      <c r="A4" s="2" t="s">
        <v>46</v>
      </c>
      <c r="B4" s="2" t="s">
        <v>57</v>
      </c>
      <c r="C4" s="2" t="s">
        <v>132</v>
      </c>
      <c r="D4" s="2" t="s">
        <v>5</v>
      </c>
    </row>
    <row r="5" spans="1:6">
      <c r="A5" s="2" t="s">
        <v>48</v>
      </c>
      <c r="B5" s="2" t="s">
        <v>57</v>
      </c>
      <c r="C5" s="2" t="s">
        <v>130</v>
      </c>
      <c r="D5" s="2" t="s">
        <v>5</v>
      </c>
    </row>
    <row r="6" spans="1:6">
      <c r="A6" s="2" t="s">
        <v>48</v>
      </c>
      <c r="B6" s="2" t="s">
        <v>57</v>
      </c>
      <c r="C6" s="2" t="s">
        <v>132</v>
      </c>
      <c r="D6" s="2" t="s">
        <v>5</v>
      </c>
    </row>
    <row r="7" spans="1:6">
      <c r="A7" s="2" t="s">
        <v>48</v>
      </c>
      <c r="B7" s="2" t="s">
        <v>57</v>
      </c>
      <c r="C7" s="2" t="s">
        <v>130</v>
      </c>
      <c r="D7" s="2" t="s">
        <v>3</v>
      </c>
    </row>
    <row r="8" spans="1:6">
      <c r="A8" s="2" t="s">
        <v>48</v>
      </c>
      <c r="B8" s="2" t="s">
        <v>57</v>
      </c>
      <c r="C8" s="2" t="s">
        <v>132</v>
      </c>
      <c r="D8" s="2" t="s">
        <v>3</v>
      </c>
    </row>
    <row r="9" spans="1:6">
      <c r="A9" s="2" t="s">
        <v>50</v>
      </c>
      <c r="B9" s="2" t="s">
        <v>57</v>
      </c>
      <c r="C9" s="2" t="s">
        <v>130</v>
      </c>
      <c r="D9" s="2" t="s">
        <v>5</v>
      </c>
    </row>
    <row r="10" spans="1:6">
      <c r="A10" s="2" t="s">
        <v>50</v>
      </c>
      <c r="B10" s="2" t="s">
        <v>57</v>
      </c>
      <c r="C10" s="2" t="s">
        <v>132</v>
      </c>
      <c r="D10" s="2" t="s">
        <v>5</v>
      </c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CBE3-0EF1-4281-9274-63E1FA02384F}">
  <sheetPr codeName="Feuil8">
    <tabColor theme="9" tint="0.39997558519241921"/>
  </sheetPr>
  <dimension ref="A1:D6"/>
  <sheetViews>
    <sheetView workbookViewId="0">
      <selection activeCell="P26" sqref="P26"/>
    </sheetView>
  </sheetViews>
  <sheetFormatPr defaultColWidth="11.42578125" defaultRowHeight="15"/>
  <cols>
    <col min="1" max="1" width="14.7109375" customWidth="1"/>
  </cols>
  <sheetData>
    <row r="1" spans="1:4">
      <c r="A1" s="2" t="s">
        <v>253</v>
      </c>
      <c r="B1" s="2"/>
      <c r="D1" s="3"/>
    </row>
    <row r="2" spans="1:4">
      <c r="A2" s="1" t="s">
        <v>252</v>
      </c>
      <c r="B2" s="1" t="s">
        <v>8</v>
      </c>
    </row>
    <row r="3" spans="1:4">
      <c r="A3" s="2" t="s">
        <v>46</v>
      </c>
      <c r="B3" s="2" t="s">
        <v>19</v>
      </c>
    </row>
    <row r="4" spans="1:4">
      <c r="A4" s="2" t="s">
        <v>46</v>
      </c>
      <c r="B4" s="2" t="s">
        <v>21</v>
      </c>
    </row>
    <row r="5" spans="1:4">
      <c r="A5" s="2" t="s">
        <v>46</v>
      </c>
      <c r="B5" s="2" t="s">
        <v>115</v>
      </c>
    </row>
    <row r="6" spans="1:4">
      <c r="A6" s="2" t="s">
        <v>48</v>
      </c>
      <c r="B6" s="2" t="s">
        <v>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5A7B-BC0F-405E-8224-3C813DC11E7F}">
  <sheetPr>
    <tabColor theme="9" tint="0.39997558519241921"/>
  </sheetPr>
  <dimension ref="A1:D8"/>
  <sheetViews>
    <sheetView workbookViewId="0">
      <selection activeCell="K26" sqref="K26"/>
    </sheetView>
  </sheetViews>
  <sheetFormatPr defaultColWidth="11.42578125" defaultRowHeight="15"/>
  <cols>
    <col min="1" max="1" width="19" customWidth="1"/>
    <col min="2" max="2" width="17" customWidth="1"/>
  </cols>
  <sheetData>
    <row r="1" spans="1:4">
      <c r="A1" s="2" t="s">
        <v>254</v>
      </c>
      <c r="B1" s="2"/>
      <c r="C1" s="2"/>
      <c r="D1" s="2"/>
    </row>
    <row r="2" spans="1:4">
      <c r="A2" s="1" t="s">
        <v>92</v>
      </c>
      <c r="B2" s="36" t="s">
        <v>135</v>
      </c>
      <c r="C2" s="2" t="s">
        <v>255</v>
      </c>
      <c r="D2" s="2" t="s">
        <v>256</v>
      </c>
    </row>
    <row r="3" spans="1:4">
      <c r="A3" s="2" t="s">
        <v>96</v>
      </c>
      <c r="B3" s="2" t="s">
        <v>149</v>
      </c>
      <c r="C3" s="2">
        <v>1</v>
      </c>
      <c r="D3" s="2">
        <v>0</v>
      </c>
    </row>
    <row r="4" spans="1:4">
      <c r="A4" s="2" t="s">
        <v>96</v>
      </c>
      <c r="B4" s="35" t="s">
        <v>139</v>
      </c>
      <c r="C4" s="35">
        <v>3</v>
      </c>
      <c r="D4" s="2">
        <v>1</v>
      </c>
    </row>
    <row r="5" spans="1:4">
      <c r="A5" s="2" t="s">
        <v>96</v>
      </c>
      <c r="B5" s="2" t="s">
        <v>149</v>
      </c>
      <c r="C5" s="2">
        <v>1</v>
      </c>
      <c r="D5" s="2">
        <v>2</v>
      </c>
    </row>
    <row r="6" spans="1:4">
      <c r="A6" s="2" t="s">
        <v>94</v>
      </c>
      <c r="B6" s="2" t="s">
        <v>149</v>
      </c>
      <c r="C6" s="2">
        <v>1</v>
      </c>
      <c r="D6" s="2">
        <v>0</v>
      </c>
    </row>
    <row r="7" spans="1:4">
      <c r="A7" s="2" t="s">
        <v>94</v>
      </c>
      <c r="B7" s="35" t="s">
        <v>139</v>
      </c>
      <c r="C7" s="35">
        <v>2</v>
      </c>
      <c r="D7" s="2">
        <v>1</v>
      </c>
    </row>
    <row r="8" spans="1:4">
      <c r="A8" s="2" t="s">
        <v>94</v>
      </c>
      <c r="B8" s="2" t="s">
        <v>149</v>
      </c>
      <c r="C8" s="2">
        <v>1</v>
      </c>
      <c r="D8" s="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D99D-47AE-4037-BA54-42CE54E0503C}">
  <sheetPr>
    <tabColor theme="9" tint="0.39997558519241921"/>
  </sheetPr>
  <dimension ref="A1:D5"/>
  <sheetViews>
    <sheetView workbookViewId="0">
      <selection activeCell="F16" sqref="F16"/>
    </sheetView>
  </sheetViews>
  <sheetFormatPr defaultColWidth="11.42578125" defaultRowHeight="15"/>
  <cols>
    <col min="1" max="1" width="12.140625" customWidth="1"/>
    <col min="2" max="2" width="13.28515625" customWidth="1"/>
    <col min="3" max="3" width="12.42578125" bestFit="1" customWidth="1"/>
  </cols>
  <sheetData>
    <row r="1" spans="1:4">
      <c r="A1" s="2" t="s">
        <v>257</v>
      </c>
      <c r="B1" s="2"/>
      <c r="C1" s="2"/>
      <c r="D1" s="2"/>
    </row>
    <row r="2" spans="1:4">
      <c r="A2" s="1" t="s">
        <v>258</v>
      </c>
      <c r="B2" s="2" t="s">
        <v>259</v>
      </c>
      <c r="C2" s="2" t="s">
        <v>260</v>
      </c>
      <c r="D2" s="2" t="s">
        <v>261</v>
      </c>
    </row>
    <row r="3" spans="1:4">
      <c r="A3" s="2">
        <v>200</v>
      </c>
      <c r="B3" s="2">
        <v>70</v>
      </c>
      <c r="C3" s="2">
        <v>120</v>
      </c>
      <c r="D3" s="2">
        <v>98</v>
      </c>
    </row>
    <row r="4" spans="1:4">
      <c r="A4" s="2">
        <v>250</v>
      </c>
      <c r="B4" s="2">
        <v>80</v>
      </c>
      <c r="C4" s="2">
        <v>170</v>
      </c>
      <c r="D4" s="2">
        <v>98</v>
      </c>
    </row>
    <row r="5" spans="1:4">
      <c r="A5" s="2">
        <v>350</v>
      </c>
      <c r="B5" s="2">
        <v>105</v>
      </c>
      <c r="C5" s="2">
        <v>270</v>
      </c>
      <c r="D5" s="2">
        <v>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482B-E962-47BC-B301-EA2965113682}">
  <sheetPr>
    <tabColor rgb="FFFF0000"/>
  </sheetPr>
  <dimension ref="A2:B7"/>
  <sheetViews>
    <sheetView workbookViewId="0">
      <selection activeCell="E2" sqref="E2"/>
    </sheetView>
  </sheetViews>
  <sheetFormatPr defaultColWidth="9.140625" defaultRowHeight="15"/>
  <cols>
    <col min="1" max="1" width="10.140625" bestFit="1" customWidth="1"/>
  </cols>
  <sheetData>
    <row r="2" spans="1:2">
      <c r="A2" s="5" t="s">
        <v>28</v>
      </c>
      <c r="B2" s="5" t="s">
        <v>53</v>
      </c>
    </row>
    <row r="3" spans="1:2">
      <c r="A3" s="4" t="s">
        <v>41</v>
      </c>
      <c r="B3" s="4" t="s">
        <v>57</v>
      </c>
    </row>
    <row r="4" spans="1:2">
      <c r="A4" s="34"/>
    </row>
    <row r="5" spans="1:2">
      <c r="A5" s="34"/>
    </row>
    <row r="6" spans="1:2">
      <c r="A6" s="34"/>
    </row>
    <row r="7" spans="1:2">
      <c r="A7" s="3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7B84-2294-42FF-912A-7531FAFD9133}">
  <sheetPr codeName="Feuil12">
    <tabColor rgb="FFFF0000"/>
  </sheetPr>
  <dimension ref="A1:B8"/>
  <sheetViews>
    <sheetView zoomScale="130" zoomScaleNormal="130" workbookViewId="0">
      <selection activeCell="K28" sqref="K28"/>
    </sheetView>
  </sheetViews>
  <sheetFormatPr defaultColWidth="11.42578125" defaultRowHeight="15"/>
  <cols>
    <col min="1" max="1" width="7.85546875" bestFit="1" customWidth="1"/>
    <col min="2" max="2" width="11.28515625" bestFit="1" customWidth="1"/>
    <col min="3" max="3" width="7.42578125" bestFit="1" customWidth="1"/>
  </cols>
  <sheetData>
    <row r="1" spans="1:2">
      <c r="A1" s="41" t="s">
        <v>262</v>
      </c>
      <c r="B1" s="41"/>
    </row>
    <row r="2" spans="1:2">
      <c r="A2" s="1" t="s">
        <v>53</v>
      </c>
      <c r="B2" s="1" t="s">
        <v>8</v>
      </c>
    </row>
    <row r="3" spans="1:2">
      <c r="A3" s="2" t="s">
        <v>55</v>
      </c>
      <c r="B3" s="2" t="s">
        <v>19</v>
      </c>
    </row>
    <row r="4" spans="1:2">
      <c r="A4" s="2" t="s">
        <v>55</v>
      </c>
      <c r="B4" s="2" t="s">
        <v>21</v>
      </c>
    </row>
    <row r="5" spans="1:2">
      <c r="A5" s="2" t="s">
        <v>55</v>
      </c>
      <c r="B5" s="2" t="s">
        <v>115</v>
      </c>
    </row>
    <row r="6" spans="1:2">
      <c r="A6" s="2" t="s">
        <v>57</v>
      </c>
      <c r="B6" s="2" t="s">
        <v>19</v>
      </c>
    </row>
    <row r="7" spans="1:2">
      <c r="A7" s="2" t="s">
        <v>57</v>
      </c>
      <c r="B7" s="2" t="s">
        <v>21</v>
      </c>
    </row>
    <row r="8" spans="1:2">
      <c r="A8" s="2" t="s">
        <v>57</v>
      </c>
      <c r="B8" s="2" t="s">
        <v>115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B503-4767-4E9F-A230-96D24C0658E9}">
  <sheetPr>
    <tabColor rgb="FFFFC000"/>
  </sheetPr>
  <dimension ref="A1:B6"/>
  <sheetViews>
    <sheetView workbookViewId="0">
      <selection activeCell="B9" sqref="B9"/>
    </sheetView>
  </sheetViews>
  <sheetFormatPr defaultColWidth="11.42578125" defaultRowHeight="15"/>
  <cols>
    <col min="2" max="2" width="22" bestFit="1" customWidth="1"/>
  </cols>
  <sheetData>
    <row r="1" spans="1:2">
      <c r="A1" s="2" t="s">
        <v>263</v>
      </c>
      <c r="B1" s="2"/>
    </row>
    <row r="2" spans="1:2">
      <c r="A2" s="2" t="s">
        <v>17</v>
      </c>
      <c r="B2" s="2" t="s">
        <v>18</v>
      </c>
    </row>
    <row r="3" spans="1:2">
      <c r="A3" s="2" t="s">
        <v>264</v>
      </c>
      <c r="B3" s="2" t="s">
        <v>265</v>
      </c>
    </row>
    <row r="4" spans="1:2">
      <c r="A4" s="2" t="s">
        <v>25</v>
      </c>
      <c r="B4" s="2" t="s">
        <v>266</v>
      </c>
    </row>
    <row r="5" spans="1:2">
      <c r="A5" s="2" t="s">
        <v>12</v>
      </c>
      <c r="B5" s="2" t="s">
        <v>267</v>
      </c>
    </row>
    <row r="6" spans="1:2">
      <c r="A6" s="2" t="s">
        <v>10</v>
      </c>
      <c r="B6" s="2" t="s">
        <v>268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41B4-47A6-478F-B4E7-AD6B8C32CD7C}">
  <sheetPr>
    <tabColor rgb="FFFF0000"/>
  </sheetPr>
  <dimension ref="A1:I15"/>
  <sheetViews>
    <sheetView zoomScale="115" zoomScaleNormal="115" workbookViewId="0">
      <selection activeCell="A4" sqref="A4:D4"/>
    </sheetView>
  </sheetViews>
  <sheetFormatPr defaultColWidth="11.42578125" defaultRowHeight="15"/>
  <cols>
    <col min="1" max="1" width="28.42578125" customWidth="1"/>
    <col min="2" max="2" width="39.42578125" bestFit="1" customWidth="1"/>
    <col min="3" max="4" width="15.7109375" bestFit="1" customWidth="1"/>
    <col min="5" max="7" width="11.42578125" customWidth="1"/>
  </cols>
  <sheetData>
    <row r="1" spans="1:9">
      <c r="A1" s="41" t="s">
        <v>134</v>
      </c>
      <c r="B1" s="41"/>
      <c r="C1" s="41"/>
      <c r="D1" s="41"/>
    </row>
    <row r="2" spans="1:9">
      <c r="A2" s="1" t="s">
        <v>135</v>
      </c>
      <c r="B2" s="2" t="s">
        <v>136</v>
      </c>
      <c r="C2" s="2" t="s">
        <v>137</v>
      </c>
      <c r="D2" s="32" t="s">
        <v>138</v>
      </c>
    </row>
    <row r="3" spans="1:9">
      <c r="A3" s="2" t="s">
        <v>269</v>
      </c>
      <c r="B3" s="2" t="s">
        <v>270</v>
      </c>
      <c r="C3" s="2">
        <v>7.9</v>
      </c>
      <c r="D3" s="2">
        <v>10</v>
      </c>
    </row>
    <row r="4" spans="1:9">
      <c r="A4" s="2" t="s">
        <v>141</v>
      </c>
      <c r="B4" s="2" t="s">
        <v>142</v>
      </c>
      <c r="C4" s="2">
        <v>10.6</v>
      </c>
      <c r="D4" s="2">
        <v>13</v>
      </c>
    </row>
    <row r="5" spans="1:9">
      <c r="A5" s="2" t="s">
        <v>139</v>
      </c>
      <c r="B5" s="2" t="s">
        <v>140</v>
      </c>
      <c r="C5" s="2">
        <v>12</v>
      </c>
      <c r="D5" s="2">
        <v>15</v>
      </c>
    </row>
    <row r="6" spans="1:9">
      <c r="A6" s="2" t="s">
        <v>271</v>
      </c>
      <c r="B6" s="2" t="s">
        <v>272</v>
      </c>
      <c r="C6" s="2">
        <v>18.3</v>
      </c>
      <c r="D6" s="2">
        <v>25</v>
      </c>
    </row>
    <row r="7" spans="1:9">
      <c r="A7" s="2" t="s">
        <v>273</v>
      </c>
      <c r="B7" s="2" t="s">
        <v>274</v>
      </c>
      <c r="C7" s="2">
        <v>7</v>
      </c>
      <c r="D7" s="2">
        <v>50</v>
      </c>
    </row>
    <row r="8" spans="1:9">
      <c r="A8" s="2" t="s">
        <v>275</v>
      </c>
      <c r="B8" s="2" t="s">
        <v>276</v>
      </c>
      <c r="C8" s="2">
        <v>14</v>
      </c>
      <c r="D8" s="2">
        <v>100</v>
      </c>
      <c r="H8" s="34"/>
      <c r="I8" s="34"/>
    </row>
    <row r="9" spans="1:9">
      <c r="A9" s="2" t="s">
        <v>147</v>
      </c>
      <c r="B9" s="2" t="s">
        <v>148</v>
      </c>
      <c r="C9" s="2">
        <v>7.85</v>
      </c>
      <c r="D9" s="2">
        <v>1</v>
      </c>
    </row>
    <row r="10" spans="1:9">
      <c r="A10" s="2" t="s">
        <v>149</v>
      </c>
      <c r="B10" s="2" t="s">
        <v>150</v>
      </c>
      <c r="C10" s="2">
        <v>15.7</v>
      </c>
      <c r="D10" s="2">
        <v>2</v>
      </c>
    </row>
    <row r="11" spans="1:9">
      <c r="A11" s="2" t="s">
        <v>277</v>
      </c>
      <c r="B11" s="2" t="s">
        <v>278</v>
      </c>
      <c r="C11" s="2">
        <v>2.7</v>
      </c>
      <c r="D11" s="2">
        <v>1</v>
      </c>
    </row>
    <row r="12" spans="1:9">
      <c r="A12" s="2" t="s">
        <v>279</v>
      </c>
      <c r="B12" s="2" t="s">
        <v>280</v>
      </c>
      <c r="C12" s="2">
        <v>5.4</v>
      </c>
      <c r="D12" s="2">
        <v>2</v>
      </c>
    </row>
    <row r="13" spans="1:9">
      <c r="A13" s="2" t="s">
        <v>281</v>
      </c>
      <c r="B13" s="2" t="s">
        <v>282</v>
      </c>
      <c r="C13" s="2">
        <v>8.6999999999999993</v>
      </c>
      <c r="D13" s="2">
        <v>10</v>
      </c>
    </row>
    <row r="14" spans="1:9">
      <c r="A14" s="2" t="s">
        <v>143</v>
      </c>
      <c r="B14" s="2" t="s">
        <v>144</v>
      </c>
      <c r="C14" s="2">
        <v>13.05</v>
      </c>
      <c r="D14" s="2">
        <v>15</v>
      </c>
    </row>
    <row r="15" spans="1:9">
      <c r="A15" s="2" t="s">
        <v>145</v>
      </c>
      <c r="B15" s="2" t="s">
        <v>146</v>
      </c>
      <c r="C15" s="2">
        <v>17.399999999999999</v>
      </c>
      <c r="D15" s="2">
        <v>20</v>
      </c>
    </row>
  </sheetData>
  <mergeCells count="1"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7FFF-E6CC-461D-979E-A5216E563898}">
  <sheetPr>
    <tabColor rgb="FFFF0000"/>
  </sheetPr>
  <dimension ref="A1:F5"/>
  <sheetViews>
    <sheetView zoomScale="130" zoomScaleNormal="130" workbookViewId="0">
      <selection activeCell="D10" sqref="D10"/>
    </sheetView>
  </sheetViews>
  <sheetFormatPr defaultColWidth="11.42578125" defaultRowHeight="15"/>
  <cols>
    <col min="1" max="1" width="13.28515625" customWidth="1"/>
    <col min="2" max="5" width="13.42578125" customWidth="1"/>
    <col min="6" max="6" width="16.85546875" bestFit="1" customWidth="1"/>
    <col min="7" max="7" width="17.85546875" bestFit="1" customWidth="1"/>
  </cols>
  <sheetData>
    <row r="1" spans="1:6">
      <c r="A1" s="41" t="s">
        <v>283</v>
      </c>
      <c r="B1" s="41"/>
      <c r="C1" s="41"/>
      <c r="D1" s="41"/>
      <c r="E1" s="41"/>
      <c r="F1" s="41"/>
    </row>
    <row r="2" spans="1:6">
      <c r="A2" s="1" t="s">
        <v>100</v>
      </c>
      <c r="B2" s="2" t="s">
        <v>101</v>
      </c>
      <c r="C2" s="2" t="s">
        <v>103</v>
      </c>
      <c r="D2" s="2" t="s">
        <v>102</v>
      </c>
      <c r="E2" s="2" t="s">
        <v>104</v>
      </c>
      <c r="F2" s="2" t="s">
        <v>284</v>
      </c>
    </row>
    <row r="3" spans="1:6">
      <c r="A3" s="2" t="s">
        <v>106</v>
      </c>
      <c r="B3" s="2">
        <v>370</v>
      </c>
      <c r="C3" s="2">
        <v>1320</v>
      </c>
      <c r="D3" s="2">
        <v>370</v>
      </c>
      <c r="E3" s="2">
        <v>1320</v>
      </c>
      <c r="F3" s="2">
        <v>54</v>
      </c>
    </row>
    <row r="4" spans="1:6">
      <c r="A4" s="2" t="s">
        <v>107</v>
      </c>
      <c r="B4" s="2">
        <v>280</v>
      </c>
      <c r="C4" s="2">
        <v>970</v>
      </c>
      <c r="D4" s="2">
        <v>568</v>
      </c>
      <c r="E4" s="2">
        <v>1943</v>
      </c>
      <c r="F4" s="2">
        <v>54</v>
      </c>
    </row>
    <row r="5" spans="1:6">
      <c r="A5" s="2" t="s">
        <v>124</v>
      </c>
      <c r="B5" s="2">
        <v>971</v>
      </c>
      <c r="C5" s="2">
        <v>1320</v>
      </c>
      <c r="D5" s="2">
        <v>568</v>
      </c>
      <c r="E5" s="2">
        <v>1943</v>
      </c>
      <c r="F5" s="2">
        <v>54</v>
      </c>
    </row>
  </sheetData>
  <mergeCells count="1"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AEBB-F8B4-4992-B3F8-63AAF639264A}">
  <sheetPr>
    <tabColor rgb="FFFF0000"/>
  </sheetPr>
  <dimension ref="A1:U113"/>
  <sheetViews>
    <sheetView zoomScaleNormal="100" workbookViewId="0">
      <selection activeCell="K30" sqref="K30"/>
    </sheetView>
  </sheetViews>
  <sheetFormatPr defaultColWidth="11.42578125" defaultRowHeight="15"/>
  <cols>
    <col min="1" max="1" width="14.42578125" bestFit="1" customWidth="1"/>
    <col min="2" max="2" width="11.5703125" bestFit="1" customWidth="1"/>
    <col min="3" max="3" width="13.7109375" customWidth="1"/>
    <col min="4" max="4" width="15" customWidth="1"/>
    <col min="5" max="5" width="13" customWidth="1"/>
    <col min="6" max="6" width="7.7109375" bestFit="1" customWidth="1"/>
    <col min="7" max="7" width="23" bestFit="1" customWidth="1"/>
    <col min="8" max="8" width="27" bestFit="1" customWidth="1"/>
    <col min="9" max="9" width="9.28515625" bestFit="1" customWidth="1"/>
    <col min="10" max="10" width="9.140625" bestFit="1" customWidth="1"/>
    <col min="11" max="11" width="61.5703125" bestFit="1" customWidth="1"/>
    <col min="12" max="12" width="8.7109375" bestFit="1" customWidth="1"/>
    <col min="13" max="13" width="47.42578125" customWidth="1"/>
    <col min="14" max="14" width="29.140625" bestFit="1" customWidth="1"/>
    <col min="15" max="15" width="5.28515625" bestFit="1" customWidth="1"/>
    <col min="16" max="16" width="16.42578125" bestFit="1" customWidth="1"/>
    <col min="17" max="17" width="7.42578125" bestFit="1" customWidth="1"/>
    <col min="18" max="18" width="138.42578125" bestFit="1" customWidth="1"/>
    <col min="19" max="19" width="130.5703125" bestFit="1" customWidth="1"/>
    <col min="20" max="20" width="134" bestFit="1" customWidth="1"/>
    <col min="21" max="21" width="97.85546875" bestFit="1" customWidth="1"/>
  </cols>
  <sheetData>
    <row r="1" spans="1:21">
      <c r="A1" s="2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1" t="s">
        <v>285</v>
      </c>
      <c r="B2" s="2" t="s">
        <v>286</v>
      </c>
      <c r="C2" s="2" t="s">
        <v>287</v>
      </c>
      <c r="D2" s="2" t="s">
        <v>288</v>
      </c>
      <c r="E2" s="2" t="s">
        <v>289</v>
      </c>
      <c r="F2" s="2" t="s">
        <v>258</v>
      </c>
      <c r="G2" s="2" t="s">
        <v>290</v>
      </c>
      <c r="H2" s="2" t="s">
        <v>291</v>
      </c>
      <c r="I2" s="2" t="s">
        <v>292</v>
      </c>
      <c r="J2" s="2" t="s">
        <v>293</v>
      </c>
      <c r="K2" s="2" t="s">
        <v>294</v>
      </c>
      <c r="L2" s="2" t="s">
        <v>295</v>
      </c>
      <c r="M2" s="2" t="s">
        <v>296</v>
      </c>
      <c r="N2" s="2" t="s">
        <v>297</v>
      </c>
      <c r="O2" s="2" t="s">
        <v>298</v>
      </c>
      <c r="P2" s="2" t="s">
        <v>299</v>
      </c>
      <c r="Q2" s="2" t="s">
        <v>300</v>
      </c>
      <c r="R2" s="2" t="s">
        <v>301</v>
      </c>
      <c r="S2" s="2" t="s">
        <v>302</v>
      </c>
      <c r="T2" s="2" t="s">
        <v>303</v>
      </c>
      <c r="U2" s="2" t="s">
        <v>304</v>
      </c>
    </row>
    <row r="3" spans="1:21">
      <c r="A3" s="2">
        <v>1</v>
      </c>
      <c r="B3" s="2">
        <v>200</v>
      </c>
      <c r="C3" s="2">
        <v>1000</v>
      </c>
      <c r="D3" s="2">
        <v>8</v>
      </c>
      <c r="E3" s="2">
        <v>18</v>
      </c>
      <c r="F3" s="2">
        <v>85</v>
      </c>
      <c r="G3" s="2" t="s">
        <v>305</v>
      </c>
      <c r="H3" s="2" t="s">
        <v>306</v>
      </c>
      <c r="I3" s="2">
        <v>70</v>
      </c>
      <c r="J3" s="2">
        <v>120</v>
      </c>
      <c r="K3" s="2" t="s">
        <v>307</v>
      </c>
      <c r="L3" s="2">
        <v>98</v>
      </c>
      <c r="M3" s="2" t="s">
        <v>308</v>
      </c>
      <c r="N3" s="2" t="s">
        <v>309</v>
      </c>
      <c r="O3" s="2">
        <v>1.35</v>
      </c>
      <c r="P3" s="2" t="s">
        <v>310</v>
      </c>
      <c r="Q3" s="2">
        <v>2</v>
      </c>
      <c r="R3" s="2" t="s">
        <v>311</v>
      </c>
      <c r="S3" s="2" t="s">
        <v>312</v>
      </c>
      <c r="T3" s="2" t="s">
        <v>313</v>
      </c>
      <c r="U3" s="2" t="s">
        <v>314</v>
      </c>
    </row>
    <row r="4" spans="1:21">
      <c r="A4" s="2">
        <v>2</v>
      </c>
      <c r="B4" s="2">
        <v>250</v>
      </c>
      <c r="C4" s="2">
        <v>1600</v>
      </c>
      <c r="D4" s="2">
        <v>8</v>
      </c>
      <c r="E4" s="2">
        <v>18</v>
      </c>
      <c r="F4" s="2">
        <v>85</v>
      </c>
      <c r="G4" s="2" t="s">
        <v>305</v>
      </c>
      <c r="H4" s="2" t="s">
        <v>315</v>
      </c>
      <c r="I4" s="2">
        <v>80</v>
      </c>
      <c r="J4" s="2">
        <v>170</v>
      </c>
      <c r="K4" s="2" t="s">
        <v>307</v>
      </c>
      <c r="L4" s="2">
        <v>98</v>
      </c>
      <c r="M4" s="2" t="s">
        <v>308</v>
      </c>
      <c r="N4" s="2" t="s">
        <v>309</v>
      </c>
      <c r="O4" s="2">
        <v>1.35</v>
      </c>
      <c r="P4" s="2" t="s">
        <v>310</v>
      </c>
      <c r="Q4" s="2">
        <v>2</v>
      </c>
      <c r="R4" s="2" t="s">
        <v>311</v>
      </c>
      <c r="S4" s="2" t="s">
        <v>312</v>
      </c>
      <c r="T4" s="2" t="s">
        <v>313</v>
      </c>
      <c r="U4" s="2" t="s">
        <v>314</v>
      </c>
    </row>
    <row r="5" spans="1:21">
      <c r="A5" s="30">
        <v>3</v>
      </c>
      <c r="B5" s="2">
        <v>350</v>
      </c>
      <c r="C5" s="30">
        <v>2100</v>
      </c>
      <c r="D5" s="2">
        <v>10</v>
      </c>
      <c r="E5" s="2">
        <v>21</v>
      </c>
      <c r="F5" s="2">
        <v>85</v>
      </c>
      <c r="G5" s="2" t="s">
        <v>305</v>
      </c>
      <c r="H5" s="2" t="s">
        <v>306</v>
      </c>
      <c r="I5" s="2">
        <v>105</v>
      </c>
      <c r="J5" s="2">
        <v>270</v>
      </c>
      <c r="K5" s="2" t="s">
        <v>307</v>
      </c>
      <c r="L5" s="2">
        <v>98</v>
      </c>
      <c r="M5" s="2" t="s">
        <v>308</v>
      </c>
      <c r="N5" s="2" t="s">
        <v>309</v>
      </c>
      <c r="O5" s="2">
        <v>1.4</v>
      </c>
      <c r="P5" s="2" t="s">
        <v>310</v>
      </c>
      <c r="Q5" s="2">
        <v>2</v>
      </c>
      <c r="R5" s="2" t="s">
        <v>311</v>
      </c>
      <c r="S5" s="2" t="s">
        <v>312</v>
      </c>
      <c r="T5" s="2" t="s">
        <v>313</v>
      </c>
      <c r="U5" s="2" t="s">
        <v>314</v>
      </c>
    </row>
    <row r="14" spans="1:21" ht="15.75" thickBot="1"/>
    <row r="15" spans="1:21">
      <c r="K15" s="28" t="s">
        <v>316</v>
      </c>
    </row>
    <row r="16" spans="1:21" ht="15.75" thickBot="1">
      <c r="K16" s="27" t="s">
        <v>297</v>
      </c>
    </row>
    <row r="57" spans="1:3">
      <c r="A57" s="29"/>
      <c r="C57" s="29"/>
    </row>
    <row r="58" spans="1:3">
      <c r="A58" s="29"/>
      <c r="C58" s="29"/>
    </row>
    <row r="59" spans="1:3">
      <c r="A59" s="29"/>
      <c r="C59" s="29"/>
    </row>
    <row r="60" spans="1:3">
      <c r="A60" s="29"/>
      <c r="C60" s="29"/>
    </row>
    <row r="61" spans="1:3">
      <c r="A61" s="29"/>
      <c r="C61" s="29"/>
    </row>
    <row r="62" spans="1:3">
      <c r="A62" s="29"/>
      <c r="C62" s="29"/>
    </row>
    <row r="63" spans="1:3">
      <c r="A63" s="29"/>
      <c r="C63" s="29"/>
    </row>
    <row r="64" spans="1:3">
      <c r="A64" s="29"/>
      <c r="C64" s="29"/>
    </row>
    <row r="65" spans="1:3">
      <c r="A65" s="29"/>
      <c r="C65" s="29"/>
    </row>
    <row r="66" spans="1:3">
      <c r="A66" s="29"/>
      <c r="C66" s="29"/>
    </row>
    <row r="67" spans="1:3">
      <c r="A67" s="29"/>
      <c r="C67" s="29"/>
    </row>
    <row r="68" spans="1:3">
      <c r="A68" s="29"/>
      <c r="C68" s="29"/>
    </row>
    <row r="69" spans="1:3">
      <c r="A69" s="29"/>
      <c r="C69" s="29"/>
    </row>
    <row r="70" spans="1:3">
      <c r="A70" s="29"/>
      <c r="C70" s="29"/>
    </row>
    <row r="71" spans="1:3">
      <c r="A71" s="29"/>
      <c r="C71" s="29"/>
    </row>
    <row r="72" spans="1:3">
      <c r="A72" s="29"/>
      <c r="C72" s="29"/>
    </row>
    <row r="73" spans="1:3">
      <c r="A73" s="29"/>
      <c r="C73" s="29"/>
    </row>
    <row r="74" spans="1:3">
      <c r="A74" s="29"/>
      <c r="C74" s="29"/>
    </row>
    <row r="75" spans="1:3">
      <c r="A75" s="29"/>
      <c r="C75" s="29"/>
    </row>
    <row r="76" spans="1:3">
      <c r="A76" s="29"/>
      <c r="C76" s="29"/>
    </row>
    <row r="77" spans="1:3">
      <c r="A77" s="29"/>
      <c r="C77" s="29"/>
    </row>
    <row r="78" spans="1:3">
      <c r="A78" s="29"/>
      <c r="C78" s="29"/>
    </row>
    <row r="79" spans="1:3">
      <c r="A79" s="29"/>
      <c r="C79" s="29"/>
    </row>
    <row r="80" spans="1:3">
      <c r="A80" s="29"/>
      <c r="C80" s="29"/>
    </row>
    <row r="81" spans="1:3">
      <c r="A81" s="29"/>
      <c r="C81" s="29"/>
    </row>
    <row r="82" spans="1:3">
      <c r="A82" s="29"/>
      <c r="C82" s="29"/>
    </row>
    <row r="83" spans="1:3">
      <c r="A83" s="29"/>
      <c r="C83" s="29"/>
    </row>
    <row r="84" spans="1:3">
      <c r="A84" s="29"/>
      <c r="C84" s="29"/>
    </row>
    <row r="85" spans="1:3">
      <c r="A85" s="29"/>
      <c r="C85" s="29"/>
    </row>
    <row r="86" spans="1:3">
      <c r="A86" s="29"/>
      <c r="C86" s="29"/>
    </row>
    <row r="87" spans="1:3">
      <c r="A87" s="29"/>
      <c r="C87" s="29"/>
    </row>
    <row r="88" spans="1:3">
      <c r="A88" s="29"/>
      <c r="C88" s="29"/>
    </row>
    <row r="89" spans="1:3">
      <c r="A89" s="29"/>
      <c r="C89" s="29"/>
    </row>
    <row r="90" spans="1:3">
      <c r="A90" s="29"/>
      <c r="C90" s="29"/>
    </row>
    <row r="91" spans="1:3">
      <c r="A91" s="29"/>
      <c r="C91" s="29"/>
    </row>
    <row r="92" spans="1:3">
      <c r="A92" s="29"/>
      <c r="C92" s="29"/>
    </row>
    <row r="93" spans="1:3">
      <c r="A93" s="29"/>
      <c r="C93" s="29"/>
    </row>
    <row r="94" spans="1:3">
      <c r="A94" s="29"/>
      <c r="C94" s="29"/>
    </row>
    <row r="95" spans="1:3">
      <c r="A95" s="29"/>
      <c r="C95" s="29"/>
    </row>
    <row r="96" spans="1:3">
      <c r="A96" s="29"/>
      <c r="C96" s="29"/>
    </row>
    <row r="97" spans="1:3">
      <c r="A97" s="29"/>
      <c r="C97" s="29"/>
    </row>
    <row r="98" spans="1:3">
      <c r="A98" s="29"/>
      <c r="C98" s="29"/>
    </row>
    <row r="99" spans="1:3">
      <c r="A99" s="29"/>
      <c r="C99" s="29"/>
    </row>
    <row r="100" spans="1:3">
      <c r="A100" s="29"/>
      <c r="C100" s="29"/>
    </row>
    <row r="101" spans="1:3">
      <c r="A101" s="29"/>
      <c r="C101" s="29"/>
    </row>
    <row r="102" spans="1:3">
      <c r="A102" s="29"/>
      <c r="C102" s="29"/>
    </row>
    <row r="103" spans="1:3">
      <c r="A103" s="29"/>
      <c r="C103" s="29"/>
    </row>
    <row r="104" spans="1:3">
      <c r="A104" s="29"/>
      <c r="C104" s="29"/>
    </row>
    <row r="105" spans="1:3">
      <c r="A105" s="29"/>
      <c r="C105" s="29"/>
    </row>
    <row r="106" spans="1:3">
      <c r="A106" s="29"/>
      <c r="C106" s="29"/>
    </row>
    <row r="107" spans="1:3">
      <c r="A107" s="29"/>
      <c r="C107" s="29"/>
    </row>
    <row r="108" spans="1:3">
      <c r="A108" s="29"/>
      <c r="C108" s="29"/>
    </row>
    <row r="109" spans="1:3">
      <c r="A109" s="29"/>
      <c r="C109" s="29"/>
    </row>
    <row r="110" spans="1:3">
      <c r="A110" s="29"/>
      <c r="C110" s="29"/>
    </row>
    <row r="111" spans="1:3">
      <c r="A111" s="29"/>
      <c r="C111" s="29"/>
    </row>
    <row r="112" spans="1:3">
      <c r="A112" s="29"/>
      <c r="C112" s="29"/>
    </row>
    <row r="113" spans="1:3">
      <c r="A113" s="29"/>
      <c r="C113" s="29"/>
    </row>
  </sheetData>
  <phoneticPr fontId="2" type="noConversion"/>
  <dataValidations count="1">
    <dataValidation type="list" allowBlank="1" showInputMessage="1" showErrorMessage="1" sqref="H120" xr:uid="{2DAA5C98-F54C-42ED-8335-1FA68A602E04}">
      <formula1>"150,200,250,300,350,400,450,500,550,600,650,700,750,800,850,900,950,1000"</formula1>
    </dataValidation>
  </dataValidation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3474-ADC9-43C0-9D03-07D0ABB6CB97}">
  <sheetPr codeName="Feuil10">
    <tabColor rgb="FFFF0000"/>
  </sheetPr>
  <dimension ref="A1:F5"/>
  <sheetViews>
    <sheetView zoomScale="145" zoomScaleNormal="145" workbookViewId="0">
      <selection activeCell="B5" sqref="B5"/>
    </sheetView>
  </sheetViews>
  <sheetFormatPr defaultColWidth="11.42578125" defaultRowHeight="15"/>
  <cols>
    <col min="1" max="1" width="16.42578125" bestFit="1" customWidth="1"/>
  </cols>
  <sheetData>
    <row r="1" spans="1:6">
      <c r="A1" s="41" t="s">
        <v>317</v>
      </c>
      <c r="B1" s="41"/>
      <c r="C1" s="41"/>
      <c r="D1" s="41"/>
      <c r="E1" s="41"/>
      <c r="F1" s="2"/>
    </row>
    <row r="2" spans="1:6">
      <c r="A2" s="1" t="s">
        <v>100</v>
      </c>
      <c r="B2" s="2" t="s">
        <v>318</v>
      </c>
      <c r="C2" s="2" t="s">
        <v>319</v>
      </c>
      <c r="D2" s="2" t="s">
        <v>320</v>
      </c>
      <c r="E2" s="2" t="s">
        <v>321</v>
      </c>
      <c r="F2" s="2" t="s">
        <v>76</v>
      </c>
    </row>
    <row r="3" spans="1:6">
      <c r="A3" s="2" t="s">
        <v>106</v>
      </c>
      <c r="B3" s="2">
        <v>300</v>
      </c>
      <c r="C3" s="2">
        <v>1250</v>
      </c>
      <c r="D3" s="2">
        <v>300</v>
      </c>
      <c r="E3" s="2">
        <v>1250</v>
      </c>
      <c r="F3" s="2">
        <v>1</v>
      </c>
    </row>
    <row r="4" spans="1:6">
      <c r="A4" s="2" t="s">
        <v>107</v>
      </c>
      <c r="B4" s="2">
        <v>500</v>
      </c>
      <c r="C4" s="2">
        <v>1875</v>
      </c>
      <c r="D4" s="2">
        <v>500</v>
      </c>
      <c r="E4" s="2">
        <v>1875</v>
      </c>
      <c r="F4" s="2">
        <v>2</v>
      </c>
    </row>
    <row r="5" spans="1:6">
      <c r="A5" s="2" t="s">
        <v>322</v>
      </c>
      <c r="B5" s="2">
        <v>500</v>
      </c>
      <c r="C5" s="2">
        <v>2575</v>
      </c>
      <c r="D5" s="2">
        <v>500</v>
      </c>
      <c r="E5" s="2">
        <v>1875</v>
      </c>
      <c r="F5" s="2">
        <v>2</v>
      </c>
    </row>
  </sheetData>
  <mergeCells count="1">
    <mergeCell ref="A1:E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A268-2A11-48B7-9774-3FE029AA1E55}">
  <sheetPr codeName="Feuil14">
    <tabColor rgb="FFFF0000"/>
  </sheetPr>
  <dimension ref="A1:B4"/>
  <sheetViews>
    <sheetView zoomScale="115" zoomScaleNormal="115" workbookViewId="0">
      <selection sqref="A1:B1"/>
    </sheetView>
  </sheetViews>
  <sheetFormatPr defaultColWidth="11.42578125" defaultRowHeight="15"/>
  <cols>
    <col min="1" max="1" width="11.28515625" bestFit="1" customWidth="1"/>
    <col min="2" max="2" width="18.85546875" bestFit="1" customWidth="1"/>
  </cols>
  <sheetData>
    <row r="1" spans="1:2">
      <c r="A1" s="41" t="s">
        <v>323</v>
      </c>
      <c r="B1" s="41"/>
    </row>
    <row r="2" spans="1:2">
      <c r="A2" s="1" t="s">
        <v>324</v>
      </c>
      <c r="B2" s="2" t="s">
        <v>325</v>
      </c>
    </row>
    <row r="3" spans="1:2">
      <c r="A3" s="2" t="s">
        <v>326</v>
      </c>
      <c r="B3" s="2" t="s">
        <v>327</v>
      </c>
    </row>
    <row r="4" spans="1:2">
      <c r="A4" s="2" t="s">
        <v>328</v>
      </c>
      <c r="B4" s="2" t="s">
        <v>329</v>
      </c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80CD-7846-4723-BAF0-5E7AA141A66D}">
  <sheetPr codeName="Feuil4">
    <tabColor rgb="FFFF0000"/>
  </sheetPr>
  <dimension ref="A1:B11"/>
  <sheetViews>
    <sheetView zoomScaleNormal="100" workbookViewId="0">
      <selection activeCell="B11" sqref="B11"/>
    </sheetView>
  </sheetViews>
  <sheetFormatPr defaultColWidth="11.42578125" defaultRowHeight="15"/>
  <sheetData>
    <row r="1" spans="1:2">
      <c r="A1" s="41" t="s">
        <v>330</v>
      </c>
      <c r="B1" s="41"/>
    </row>
    <row r="2" spans="1:2">
      <c r="A2" s="1" t="s">
        <v>331</v>
      </c>
      <c r="B2" s="1" t="s">
        <v>8</v>
      </c>
    </row>
    <row r="3" spans="1:2">
      <c r="A3" s="2" t="s">
        <v>332</v>
      </c>
      <c r="B3" s="2" t="s">
        <v>19</v>
      </c>
    </row>
    <row r="4" spans="1:2">
      <c r="A4" s="2" t="s">
        <v>332</v>
      </c>
      <c r="B4" s="2" t="s">
        <v>21</v>
      </c>
    </row>
    <row r="5" spans="1:2">
      <c r="A5" s="2" t="s">
        <v>332</v>
      </c>
      <c r="B5" s="2" t="s">
        <v>115</v>
      </c>
    </row>
    <row r="6" spans="1:2">
      <c r="A6" s="2" t="s">
        <v>333</v>
      </c>
      <c r="B6" s="2" t="s">
        <v>19</v>
      </c>
    </row>
    <row r="7" spans="1:2">
      <c r="A7" s="2" t="s">
        <v>333</v>
      </c>
      <c r="B7" s="2" t="s">
        <v>21</v>
      </c>
    </row>
    <row r="8" spans="1:2">
      <c r="A8" s="2" t="s">
        <v>333</v>
      </c>
      <c r="B8" s="2" t="s">
        <v>115</v>
      </c>
    </row>
    <row r="9" spans="1:2">
      <c r="A9" s="2" t="s">
        <v>334</v>
      </c>
      <c r="B9" s="2" t="s">
        <v>19</v>
      </c>
    </row>
    <row r="10" spans="1:2">
      <c r="A10" s="2" t="s">
        <v>334</v>
      </c>
      <c r="B10" s="2" t="s">
        <v>21</v>
      </c>
    </row>
    <row r="11" spans="1:2">
      <c r="A11" s="2" t="s">
        <v>334</v>
      </c>
      <c r="B11" s="2" t="s">
        <v>115</v>
      </c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F6F5-E079-4DC2-9B83-E102398761C1}">
  <sheetPr>
    <tabColor rgb="FFFF0000"/>
  </sheetPr>
  <dimension ref="A1:E11"/>
  <sheetViews>
    <sheetView zoomScale="130" zoomScaleNormal="130" workbookViewId="0">
      <selection activeCell="D13" sqref="D13"/>
    </sheetView>
  </sheetViews>
  <sheetFormatPr defaultColWidth="11.42578125" defaultRowHeight="15"/>
  <cols>
    <col min="1" max="1" width="11.140625" bestFit="1" customWidth="1"/>
    <col min="2" max="3" width="17.140625" bestFit="1" customWidth="1"/>
    <col min="4" max="4" width="9.85546875" bestFit="1" customWidth="1"/>
  </cols>
  <sheetData>
    <row r="1" spans="1:5">
      <c r="A1" s="42" t="s">
        <v>335</v>
      </c>
      <c r="B1" s="42"/>
      <c r="C1" s="42"/>
      <c r="D1" s="42"/>
      <c r="E1" s="2"/>
    </row>
    <row r="2" spans="1:5">
      <c r="A2" s="5" t="s">
        <v>100</v>
      </c>
      <c r="B2" s="4" t="s">
        <v>336</v>
      </c>
      <c r="C2" s="2" t="s">
        <v>337</v>
      </c>
      <c r="D2" s="4" t="s">
        <v>338</v>
      </c>
      <c r="E2" s="4" t="s">
        <v>339</v>
      </c>
    </row>
    <row r="3" spans="1:5">
      <c r="A3" s="4" t="s">
        <v>106</v>
      </c>
      <c r="B3" s="4">
        <v>140</v>
      </c>
      <c r="C3" s="2">
        <v>140</v>
      </c>
      <c r="D3" s="4">
        <v>9999</v>
      </c>
      <c r="E3" s="4">
        <v>9999</v>
      </c>
    </row>
    <row r="4" spans="1:5">
      <c r="A4" s="4" t="s">
        <v>107</v>
      </c>
      <c r="B4" s="4">
        <v>80</v>
      </c>
      <c r="C4" s="2">
        <v>90</v>
      </c>
      <c r="D4" s="4">
        <v>220</v>
      </c>
      <c r="E4" s="4">
        <v>90</v>
      </c>
    </row>
    <row r="5" spans="1:5">
      <c r="A5" s="33" t="s">
        <v>322</v>
      </c>
    </row>
    <row r="7" spans="1:5">
      <c r="A7" s="40" t="s">
        <v>340</v>
      </c>
      <c r="B7" s="40"/>
      <c r="C7" s="40"/>
      <c r="D7" s="40"/>
      <c r="E7" s="40"/>
    </row>
    <row r="10" spans="1:5">
      <c r="A10" t="s">
        <v>341</v>
      </c>
    </row>
    <row r="11" spans="1:5">
      <c r="A11" t="s">
        <v>342</v>
      </c>
    </row>
  </sheetData>
  <mergeCells count="2">
    <mergeCell ref="A1:D1"/>
    <mergeCell ref="A7:E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C57C-24F8-4D29-B5DC-30F64338E37B}">
  <dimension ref="A1:T109"/>
  <sheetViews>
    <sheetView zoomScaleNormal="100" workbookViewId="0">
      <selection activeCell="O16" sqref="O16"/>
    </sheetView>
  </sheetViews>
  <sheetFormatPr defaultColWidth="11.42578125" defaultRowHeight="15"/>
  <cols>
    <col min="1" max="1" width="9.42578125" bestFit="1" customWidth="1"/>
    <col min="2" max="2" width="11.85546875" bestFit="1" customWidth="1"/>
    <col min="3" max="4" width="9.42578125" customWidth="1"/>
    <col min="5" max="5" width="5.85546875" bestFit="1" customWidth="1"/>
    <col min="6" max="6" width="9.7109375" bestFit="1" customWidth="1"/>
    <col min="7" max="8" width="7.28515625" customWidth="1"/>
    <col min="9" max="9" width="6.5703125" customWidth="1"/>
    <col min="10" max="10" width="6.28515625" customWidth="1"/>
    <col min="12" max="12" width="5.85546875" bestFit="1" customWidth="1"/>
    <col min="13" max="13" width="10.140625" bestFit="1" customWidth="1"/>
    <col min="14" max="14" width="5.5703125" bestFit="1" customWidth="1"/>
    <col min="16" max="16" width="34.28515625" bestFit="1" customWidth="1"/>
    <col min="17" max="17" width="5.85546875" bestFit="1" customWidth="1"/>
    <col min="18" max="18" width="6" bestFit="1" customWidth="1"/>
    <col min="19" max="19" width="5.85546875" bestFit="1" customWidth="1"/>
    <col min="20" max="20" width="4.42578125" bestFit="1" customWidth="1"/>
  </cols>
  <sheetData>
    <row r="1" spans="1:20" ht="15.75" thickBot="1">
      <c r="A1" s="1" t="s">
        <v>324</v>
      </c>
      <c r="B1" s="1" t="s">
        <v>343</v>
      </c>
      <c r="C1" s="3"/>
      <c r="D1" s="3"/>
      <c r="E1" s="2" t="s">
        <v>285</v>
      </c>
      <c r="F1" s="2" t="s">
        <v>344</v>
      </c>
      <c r="M1" s="29"/>
      <c r="N1" s="29"/>
      <c r="Q1" s="6" t="s">
        <v>345</v>
      </c>
      <c r="R1" s="7" t="s">
        <v>346</v>
      </c>
      <c r="S1" s="8" t="s">
        <v>347</v>
      </c>
    </row>
    <row r="2" spans="1:20">
      <c r="A2" s="2" t="s">
        <v>348</v>
      </c>
      <c r="B2" s="2" t="s">
        <v>349</v>
      </c>
      <c r="E2" s="2">
        <v>1</v>
      </c>
      <c r="F2" s="2">
        <v>1000</v>
      </c>
      <c r="K2" s="29"/>
      <c r="L2" s="29"/>
      <c r="M2" s="29"/>
      <c r="N2" s="29"/>
      <c r="P2" s="9" t="s">
        <v>350</v>
      </c>
      <c r="Q2" s="10">
        <v>200</v>
      </c>
      <c r="R2" s="9">
        <v>250</v>
      </c>
      <c r="S2" s="10">
        <v>350</v>
      </c>
      <c r="T2" s="9" t="s">
        <v>351</v>
      </c>
    </row>
    <row r="3" spans="1:20">
      <c r="A3" s="2" t="s">
        <v>352</v>
      </c>
      <c r="B3" s="2" t="s">
        <v>349</v>
      </c>
      <c r="E3" s="2">
        <v>1</v>
      </c>
      <c r="F3" s="2">
        <v>950</v>
      </c>
      <c r="K3" s="29"/>
      <c r="L3" s="29"/>
      <c r="M3" s="29"/>
      <c r="N3" s="29"/>
      <c r="P3" s="11" t="s">
        <v>353</v>
      </c>
      <c r="Q3" s="12">
        <v>8</v>
      </c>
      <c r="R3" s="11">
        <v>8</v>
      </c>
      <c r="S3" s="12">
        <v>10</v>
      </c>
      <c r="T3" s="11" t="s">
        <v>351</v>
      </c>
    </row>
    <row r="4" spans="1:20">
      <c r="A4" s="2" t="s">
        <v>354</v>
      </c>
      <c r="B4" s="2" t="s">
        <v>349</v>
      </c>
      <c r="E4" s="2">
        <v>1</v>
      </c>
      <c r="F4" s="2">
        <v>900</v>
      </c>
      <c r="K4" s="29"/>
      <c r="L4" s="29"/>
      <c r="M4" s="29"/>
      <c r="N4" s="29"/>
      <c r="P4" s="11" t="s">
        <v>355</v>
      </c>
      <c r="Q4" s="12">
        <v>18</v>
      </c>
      <c r="R4" s="11">
        <v>18</v>
      </c>
      <c r="S4" s="12">
        <v>21</v>
      </c>
      <c r="T4" s="11" t="s">
        <v>351</v>
      </c>
    </row>
    <row r="5" spans="1:20">
      <c r="A5" s="2" t="s">
        <v>356</v>
      </c>
      <c r="B5" s="2" t="s">
        <v>349</v>
      </c>
      <c r="E5" s="2">
        <v>1</v>
      </c>
      <c r="F5" s="2">
        <v>850</v>
      </c>
      <c r="K5" s="29"/>
      <c r="L5" s="29"/>
      <c r="M5" s="29"/>
      <c r="N5" s="29"/>
      <c r="P5" s="11" t="s">
        <v>357</v>
      </c>
      <c r="Q5" s="12">
        <v>85</v>
      </c>
      <c r="R5" s="11">
        <v>85</v>
      </c>
      <c r="S5" s="12">
        <v>85</v>
      </c>
      <c r="T5" s="11" t="s">
        <v>351</v>
      </c>
    </row>
    <row r="6" spans="1:20">
      <c r="A6" s="2" t="s">
        <v>358</v>
      </c>
      <c r="B6" s="2" t="s">
        <v>349</v>
      </c>
      <c r="E6" s="2">
        <v>1</v>
      </c>
      <c r="F6" s="2">
        <v>800</v>
      </c>
      <c r="K6" s="29"/>
      <c r="L6" s="29"/>
      <c r="M6" s="29"/>
      <c r="N6" s="29"/>
      <c r="P6" s="11" t="s">
        <v>359</v>
      </c>
      <c r="Q6" s="12">
        <f>Q2*2+Q5</f>
        <v>485</v>
      </c>
      <c r="R6" s="11">
        <f>R2*2+R5</f>
        <v>585</v>
      </c>
      <c r="S6" s="12">
        <f>S2*2+S5</f>
        <v>785</v>
      </c>
      <c r="T6" s="11" t="s">
        <v>351</v>
      </c>
    </row>
    <row r="7" spans="1:20" ht="15.75" thickBot="1">
      <c r="A7" s="2" t="s">
        <v>360</v>
      </c>
      <c r="B7" s="2" t="s">
        <v>349</v>
      </c>
      <c r="E7" s="2">
        <v>1</v>
      </c>
      <c r="F7" s="2">
        <v>800</v>
      </c>
      <c r="K7" s="29"/>
      <c r="L7" s="29"/>
      <c r="M7" s="29"/>
      <c r="N7" s="29"/>
      <c r="P7" s="11" t="s">
        <v>361</v>
      </c>
      <c r="Q7" s="12">
        <f>Q6-Q2+10</f>
        <v>295</v>
      </c>
      <c r="R7" s="11">
        <f>R6-R2+7.5</f>
        <v>342.5</v>
      </c>
      <c r="S7" s="12">
        <f>S6-S2+10</f>
        <v>445</v>
      </c>
      <c r="T7" s="11" t="s">
        <v>351</v>
      </c>
    </row>
    <row r="8" spans="1:20">
      <c r="A8" s="2" t="s">
        <v>362</v>
      </c>
      <c r="B8" s="2" t="s">
        <v>349</v>
      </c>
      <c r="E8" s="2">
        <v>1</v>
      </c>
      <c r="F8" s="2">
        <v>700</v>
      </c>
      <c r="K8" s="29"/>
      <c r="L8" s="29"/>
      <c r="M8" s="29"/>
      <c r="N8" s="29"/>
      <c r="P8" s="9" t="s">
        <v>363</v>
      </c>
      <c r="Q8" s="10">
        <v>70</v>
      </c>
      <c r="R8" s="9">
        <v>80</v>
      </c>
      <c r="S8" s="10">
        <v>105</v>
      </c>
      <c r="T8" s="9" t="s">
        <v>351</v>
      </c>
    </row>
    <row r="9" spans="1:20">
      <c r="A9" s="2" t="s">
        <v>364</v>
      </c>
      <c r="B9" s="2" t="s">
        <v>349</v>
      </c>
      <c r="E9" s="2">
        <v>1</v>
      </c>
      <c r="F9" s="2">
        <v>500</v>
      </c>
      <c r="K9" s="29"/>
      <c r="L9" s="29"/>
      <c r="M9" s="29"/>
      <c r="N9" s="29"/>
      <c r="P9" s="11" t="s">
        <v>365</v>
      </c>
      <c r="Q9" s="12">
        <v>120</v>
      </c>
      <c r="R9" s="11">
        <v>170</v>
      </c>
      <c r="S9" s="12">
        <v>270</v>
      </c>
      <c r="T9" s="11" t="s">
        <v>351</v>
      </c>
    </row>
    <row r="10" spans="1:20">
      <c r="A10" s="2" t="s">
        <v>366</v>
      </c>
      <c r="B10" s="2" t="s">
        <v>349</v>
      </c>
      <c r="E10" s="2">
        <v>1</v>
      </c>
      <c r="F10" s="2">
        <v>500</v>
      </c>
      <c r="K10" s="29"/>
      <c r="L10" s="29"/>
      <c r="M10" s="29"/>
      <c r="N10" s="29"/>
      <c r="P10" s="11" t="s">
        <v>367</v>
      </c>
      <c r="Q10" s="13">
        <f>ROUND(SQRT(Q7^2-(Q9-Q11)^2)+Q8,0)</f>
        <v>364</v>
      </c>
      <c r="R10" s="14">
        <f>ROUND(SQRT(R7^2-(R9-R11)^2)+R8,0)</f>
        <v>415</v>
      </c>
      <c r="S10" s="13">
        <f>ROUND(SQRT(S7^2-(S9-S11)^2)+S8,0)</f>
        <v>515</v>
      </c>
      <c r="T10" s="11" t="s">
        <v>351</v>
      </c>
    </row>
    <row r="11" spans="1:20" ht="15.75" thickBot="1">
      <c r="A11" s="2" t="s">
        <v>368</v>
      </c>
      <c r="B11" s="2" t="s">
        <v>349</v>
      </c>
      <c r="E11" s="2">
        <v>1</v>
      </c>
      <c r="F11" s="2">
        <v>450</v>
      </c>
      <c r="K11" s="29"/>
      <c r="L11" s="29"/>
      <c r="M11" s="29"/>
      <c r="N11" s="29"/>
      <c r="P11" s="15" t="s">
        <v>369</v>
      </c>
      <c r="Q11" s="16">
        <v>98</v>
      </c>
      <c r="R11" s="15">
        <v>98</v>
      </c>
      <c r="S11" s="16">
        <v>98</v>
      </c>
      <c r="T11" s="15" t="s">
        <v>351</v>
      </c>
    </row>
    <row r="12" spans="1:20">
      <c r="A12" s="2" t="s">
        <v>370</v>
      </c>
      <c r="B12" s="2" t="s">
        <v>349</v>
      </c>
      <c r="E12" s="2">
        <v>1</v>
      </c>
      <c r="F12" s="2">
        <v>400</v>
      </c>
      <c r="K12" s="29"/>
      <c r="L12" s="29"/>
      <c r="M12" s="29"/>
      <c r="N12" s="29"/>
      <c r="P12" s="11" t="s">
        <v>371</v>
      </c>
      <c r="Q12" s="13">
        <f>DEGREES(ACOS((Q9-Q11)/Q7))</f>
        <v>85.723123750636972</v>
      </c>
      <c r="R12" s="14">
        <f>DEGREES(ACOS((R9-R11)/R7))</f>
        <v>77.864814774559747</v>
      </c>
      <c r="S12" s="13">
        <f>DEGREES(ACOS((S9-S11)/S7))</f>
        <v>67.262059260270433</v>
      </c>
      <c r="T12" s="11" t="s">
        <v>372</v>
      </c>
    </row>
    <row r="13" spans="1:20">
      <c r="A13" s="2" t="s">
        <v>373</v>
      </c>
      <c r="B13" s="2" t="s">
        <v>349</v>
      </c>
      <c r="E13" s="2">
        <v>1</v>
      </c>
      <c r="F13" s="2">
        <v>400</v>
      </c>
      <c r="K13" s="29"/>
      <c r="L13" s="29"/>
      <c r="M13" s="29"/>
      <c r="N13" s="29"/>
      <c r="P13" s="11" t="s">
        <v>374</v>
      </c>
      <c r="Q13" s="17">
        <f>DEGREES(ACOS((Q6^2-Q14^2-(Q9^2+Q8^2))/(-2*Q14*(SQRT(Q9^2+Q8^2)))))-DEGREES(ATAN(Q9/Q8))+DEGREES(ATAN(Q11/Q10))</f>
        <v>90.142491649083496</v>
      </c>
      <c r="R13" s="18">
        <f>DEGREES(ACOS((R6^2-R14^2-(R9^2+R8^2))/(-2*R14*(SQRT(R9^2+R8^2)))))-DEGREES(ATAN(R9/R8))+DEGREES(ATAN(R11/R10))</f>
        <v>89.814218923400773</v>
      </c>
      <c r="S13" s="17">
        <f>DEGREES(ACOS((S6^2-S14^2-(S9^2+S8^2))/(-2*S14*(SQRT(S9^2+S8^2)))))-DEGREES(ATAN(S9/S8))+DEGREES(ATAN(S11/S10))</f>
        <v>89.982573968995865</v>
      </c>
      <c r="T13" s="11" t="s">
        <v>372</v>
      </c>
    </row>
    <row r="14" spans="1:20">
      <c r="A14" s="2" t="s">
        <v>375</v>
      </c>
      <c r="B14" s="2" t="s">
        <v>349</v>
      </c>
      <c r="E14" s="2">
        <v>1</v>
      </c>
      <c r="F14" s="2">
        <v>300</v>
      </c>
      <c r="K14" s="29"/>
      <c r="L14" s="29"/>
      <c r="M14" s="29"/>
      <c r="N14" s="29"/>
      <c r="O14" t="s">
        <v>376</v>
      </c>
      <c r="P14" s="11" t="s">
        <v>377</v>
      </c>
      <c r="Q14" s="13">
        <f>SQRT(Q10^2+Q11^2)</f>
        <v>376.96153649941527</v>
      </c>
      <c r="R14" s="14">
        <f>SQRT(R10^2+R11^2)</f>
        <v>426.41411796515371</v>
      </c>
      <c r="S14" s="13">
        <f>SQRT(S10^2+S11^2)</f>
        <v>524.24135662879553</v>
      </c>
      <c r="T14" s="11" t="s">
        <v>351</v>
      </c>
    </row>
    <row r="15" spans="1:20">
      <c r="A15" s="2" t="s">
        <v>378</v>
      </c>
      <c r="B15" s="2" t="s">
        <v>349</v>
      </c>
      <c r="E15" s="2">
        <v>1</v>
      </c>
      <c r="F15" s="2">
        <v>300</v>
      </c>
      <c r="K15" s="29"/>
      <c r="L15" s="29"/>
      <c r="M15" s="29"/>
      <c r="N15" s="29"/>
      <c r="P15" s="11" t="s">
        <v>379</v>
      </c>
      <c r="Q15" s="13">
        <f>Q14*SIN(RADIANS(DEGREES(ACOS(Q10/Q14))+90-Q12))</f>
        <v>124.87286335118553</v>
      </c>
      <c r="R15" s="14">
        <f>R14*SIN(RADIANS(DEGREES(ACOS(R10/R14))+90-R12))</f>
        <v>183.0509998653786</v>
      </c>
      <c r="S15" s="13">
        <f>S14*SIN(RADIANS(DEGREES(ACOS(S10/S14))+90-S12))</f>
        <v>289.43984946453747</v>
      </c>
      <c r="T15" s="11" t="s">
        <v>351</v>
      </c>
    </row>
    <row r="16" spans="1:20" ht="15.75" thickBot="1">
      <c r="A16" s="2" t="s">
        <v>380</v>
      </c>
      <c r="B16" s="2" t="s">
        <v>349</v>
      </c>
      <c r="E16" s="2">
        <v>1</v>
      </c>
      <c r="F16" s="2">
        <v>300</v>
      </c>
      <c r="K16" s="29"/>
      <c r="L16" s="29"/>
      <c r="M16" s="29"/>
      <c r="N16" s="29"/>
      <c r="P16" s="19" t="s">
        <v>381</v>
      </c>
      <c r="Q16" s="20">
        <f>Q14*SIN(ACOS((Q9^2+Q8^2-Q6^2-Q14^2)/(-2*Q6*Q14)))</f>
        <v>76.594464927985584</v>
      </c>
      <c r="R16" s="21">
        <f>R14*SIN(ACOS((R9^2+R8^2-R6^2-R14^2)/(-2*R6*R14)))</f>
        <v>85.577904575183823</v>
      </c>
      <c r="S16" s="20">
        <f>S14*SIN(ACOS((S9^2+S8^2-S6^2-S14^2)/(-2*S6*S14)))</f>
        <v>102.64223891607303</v>
      </c>
      <c r="T16" s="19" t="s">
        <v>351</v>
      </c>
    </row>
    <row r="17" spans="1:20">
      <c r="A17" s="2" t="s">
        <v>382</v>
      </c>
      <c r="B17" s="2" t="s">
        <v>349</v>
      </c>
      <c r="E17" s="2">
        <v>1</v>
      </c>
      <c r="F17" s="2">
        <v>350</v>
      </c>
      <c r="K17" s="29"/>
      <c r="L17" s="29"/>
      <c r="M17" s="29"/>
      <c r="N17" s="29"/>
      <c r="P17" s="9" t="s">
        <v>383</v>
      </c>
      <c r="Q17" s="10">
        <v>150</v>
      </c>
      <c r="R17" s="9">
        <v>150</v>
      </c>
      <c r="S17" s="10">
        <v>150</v>
      </c>
      <c r="T17" s="9" t="s">
        <v>384</v>
      </c>
    </row>
    <row r="18" spans="1:20">
      <c r="A18" s="2" t="s">
        <v>385</v>
      </c>
      <c r="B18" s="2" t="s">
        <v>349</v>
      </c>
      <c r="E18" s="2">
        <v>1</v>
      </c>
      <c r="F18" s="2">
        <v>250</v>
      </c>
      <c r="K18" s="29"/>
      <c r="L18" s="29"/>
      <c r="M18" s="29"/>
      <c r="N18" s="29"/>
      <c r="P18" s="11" t="s">
        <v>386</v>
      </c>
      <c r="Q18" s="12">
        <v>1.35</v>
      </c>
      <c r="R18" s="11">
        <v>1.35</v>
      </c>
      <c r="S18" s="12">
        <v>1.4</v>
      </c>
      <c r="T18" s="11" t="s">
        <v>387</v>
      </c>
    </row>
    <row r="19" spans="1:20">
      <c r="A19" s="2" t="s">
        <v>388</v>
      </c>
      <c r="B19" s="2" t="s">
        <v>349</v>
      </c>
      <c r="E19" s="2">
        <v>1</v>
      </c>
      <c r="F19" s="2">
        <v>250</v>
      </c>
      <c r="K19" s="29"/>
      <c r="L19" s="29"/>
      <c r="M19" s="29"/>
      <c r="N19" s="29"/>
      <c r="P19" s="11" t="s">
        <v>389</v>
      </c>
      <c r="Q19" s="12">
        <f>Q17*Q18</f>
        <v>202.5</v>
      </c>
      <c r="R19" s="11">
        <f>R17*R18</f>
        <v>202.5</v>
      </c>
      <c r="S19" s="12">
        <f>S17*S18</f>
        <v>210</v>
      </c>
      <c r="T19" s="11" t="s">
        <v>384</v>
      </c>
    </row>
    <row r="20" spans="1:20" ht="15.75" thickBot="1">
      <c r="A20" s="2" t="s">
        <v>390</v>
      </c>
      <c r="B20" s="2" t="s">
        <v>349</v>
      </c>
      <c r="E20" s="2">
        <v>1</v>
      </c>
      <c r="F20" s="2">
        <v>200</v>
      </c>
      <c r="K20" s="29"/>
      <c r="L20" s="29"/>
      <c r="M20" s="29"/>
      <c r="N20" s="29"/>
      <c r="P20" s="15" t="s">
        <v>391</v>
      </c>
      <c r="Q20" s="16">
        <v>2</v>
      </c>
      <c r="R20" s="15">
        <v>2</v>
      </c>
      <c r="S20" s="16">
        <v>2</v>
      </c>
      <c r="T20" s="15" t="s">
        <v>387</v>
      </c>
    </row>
    <row r="21" spans="1:20">
      <c r="A21" s="2" t="s">
        <v>392</v>
      </c>
      <c r="B21" s="2" t="s">
        <v>349</v>
      </c>
      <c r="E21" s="2">
        <v>1</v>
      </c>
      <c r="F21" s="2">
        <v>200</v>
      </c>
      <c r="K21" s="29"/>
      <c r="L21" s="29"/>
      <c r="M21" s="29"/>
      <c r="N21" s="29"/>
      <c r="P21" s="22" t="s">
        <v>393</v>
      </c>
      <c r="Q21" s="23">
        <f>Q19*(SIN(RADIANS(Q12))*(Q11/1000)+COS(RADIANS(Q12))*(Q10/1000))*Q20</f>
        <v>50.573509657230147</v>
      </c>
      <c r="R21" s="24">
        <f>R19*(SIN(RADIANS(R12))*(R11/1000)+COS(RADIANS(R12))*(R10/1000))*R20</f>
        <v>74.135654945478308</v>
      </c>
      <c r="S21" s="23">
        <f>S19*(SIN(RADIANS(S12))*(S11/1000)+COS(RADIANS(S12))*(S10/1000))*S20</f>
        <v>121.56473677510573</v>
      </c>
      <c r="T21" s="22" t="s">
        <v>394</v>
      </c>
    </row>
    <row r="22" spans="1:20" ht="15.75" thickBot="1">
      <c r="A22" s="2" t="s">
        <v>395</v>
      </c>
      <c r="B22" s="2" t="s">
        <v>349</v>
      </c>
      <c r="E22" s="2">
        <v>1</v>
      </c>
      <c r="F22" s="2">
        <v>200</v>
      </c>
      <c r="K22" s="29"/>
      <c r="L22" s="29"/>
      <c r="M22" s="29"/>
      <c r="N22" s="29"/>
      <c r="P22" s="15" t="s">
        <v>396</v>
      </c>
      <c r="Q22" s="25">
        <f>((Q17*COS(ASIN((Q11-Q8)/Q6)))*(Q11/1000))-((Q17*SIN(ASIN((Q11-Q8)/Q6)))*(Q10/1000))</f>
        <v>11.523317209021249</v>
      </c>
      <c r="R22" s="26">
        <f>((R17*COS(ASIN((R11-R8)/R6)))*(R11/1000))-((R17*SIN(ASIN((R11-R8)/R6)))*(R10/1000))</f>
        <v>12.777655156952465</v>
      </c>
      <c r="S22" s="25">
        <f>((S17*COS(ASIN((S11-S8)/S6)))*(S11/1000))-((S17*SIN(ASIN((S11-S8)/S6)))*(S10/1000))</f>
        <v>15.388269045949542</v>
      </c>
      <c r="T22" s="15" t="s">
        <v>394</v>
      </c>
    </row>
    <row r="23" spans="1:20">
      <c r="A23" s="2" t="s">
        <v>397</v>
      </c>
      <c r="B23" s="2" t="s">
        <v>349</v>
      </c>
      <c r="E23" s="2">
        <v>2</v>
      </c>
      <c r="F23" s="2">
        <v>1600</v>
      </c>
      <c r="K23" s="29"/>
      <c r="L23" s="29"/>
      <c r="M23" s="29"/>
      <c r="N23" s="29"/>
    </row>
    <row r="24" spans="1:20">
      <c r="A24" s="2" t="s">
        <v>398</v>
      </c>
      <c r="B24" s="2" t="s">
        <v>349</v>
      </c>
      <c r="E24" s="2">
        <v>2</v>
      </c>
      <c r="F24" s="2">
        <v>1300</v>
      </c>
      <c r="K24" s="29"/>
      <c r="L24" s="29"/>
      <c r="M24" s="29"/>
      <c r="N24" s="29"/>
    </row>
    <row r="25" spans="1:20">
      <c r="A25" s="2" t="s">
        <v>399</v>
      </c>
      <c r="B25" s="2" t="s">
        <v>349</v>
      </c>
      <c r="E25" s="2">
        <v>2</v>
      </c>
      <c r="F25" s="2">
        <v>1100</v>
      </c>
      <c r="K25" s="29"/>
      <c r="L25" s="29"/>
      <c r="M25" s="29"/>
      <c r="N25" s="29"/>
    </row>
    <row r="26" spans="1:20">
      <c r="A26" s="2" t="s">
        <v>400</v>
      </c>
      <c r="B26" s="2" t="s">
        <v>349</v>
      </c>
      <c r="E26" s="2">
        <v>2</v>
      </c>
      <c r="F26" s="2">
        <v>1000</v>
      </c>
      <c r="K26" s="29"/>
      <c r="L26" s="29"/>
      <c r="M26" s="29"/>
      <c r="N26" s="29"/>
    </row>
    <row r="27" spans="1:20">
      <c r="A27" s="2" t="s">
        <v>401</v>
      </c>
      <c r="B27" s="2" t="s">
        <v>349</v>
      </c>
      <c r="E27" s="2">
        <v>2</v>
      </c>
      <c r="F27" s="2">
        <v>900</v>
      </c>
      <c r="K27" s="29"/>
      <c r="L27" s="29"/>
      <c r="M27" s="29"/>
      <c r="N27" s="29"/>
    </row>
    <row r="28" spans="1:20">
      <c r="A28" s="2" t="s">
        <v>402</v>
      </c>
      <c r="B28" s="2" t="s">
        <v>349</v>
      </c>
      <c r="E28" s="2">
        <v>2</v>
      </c>
      <c r="F28" s="2">
        <v>800</v>
      </c>
      <c r="K28" s="29"/>
      <c r="L28" s="29"/>
      <c r="M28" s="29"/>
      <c r="N28" s="29"/>
    </row>
    <row r="29" spans="1:20">
      <c r="A29" s="2" t="s">
        <v>403</v>
      </c>
      <c r="B29" s="2" t="s">
        <v>349</v>
      </c>
      <c r="E29" s="2">
        <v>2</v>
      </c>
      <c r="F29" s="2">
        <v>800</v>
      </c>
      <c r="K29" s="29"/>
      <c r="L29" s="29"/>
      <c r="M29" s="29"/>
      <c r="N29" s="29"/>
    </row>
    <row r="30" spans="1:20">
      <c r="A30" s="2" t="s">
        <v>404</v>
      </c>
      <c r="B30" s="2" t="s">
        <v>349</v>
      </c>
      <c r="E30" s="2">
        <v>2</v>
      </c>
      <c r="F30" s="2">
        <v>700</v>
      </c>
      <c r="K30" s="29"/>
      <c r="L30" s="29"/>
    </row>
    <row r="31" spans="1:20">
      <c r="A31" s="2" t="s">
        <v>405</v>
      </c>
      <c r="B31" s="2" t="s">
        <v>349</v>
      </c>
      <c r="E31" s="2">
        <v>2</v>
      </c>
      <c r="F31" s="2">
        <v>700</v>
      </c>
    </row>
    <row r="32" spans="1:20">
      <c r="A32" s="2" t="s">
        <v>406</v>
      </c>
      <c r="B32" s="2" t="s">
        <v>349</v>
      </c>
      <c r="E32" s="2">
        <v>2</v>
      </c>
      <c r="F32" s="2">
        <v>700</v>
      </c>
    </row>
    <row r="33" spans="1:6">
      <c r="A33" s="2" t="s">
        <v>407</v>
      </c>
      <c r="B33" s="2" t="s">
        <v>349</v>
      </c>
      <c r="E33" s="2">
        <v>2</v>
      </c>
      <c r="F33" s="2">
        <v>600</v>
      </c>
    </row>
    <row r="34" spans="1:6">
      <c r="A34" s="2" t="s">
        <v>408</v>
      </c>
      <c r="B34" s="2" t="s">
        <v>349</v>
      </c>
      <c r="E34" s="2">
        <v>2</v>
      </c>
      <c r="F34" s="2">
        <v>600</v>
      </c>
    </row>
    <row r="35" spans="1:6">
      <c r="A35" s="2" t="s">
        <v>409</v>
      </c>
      <c r="B35" s="2" t="s">
        <v>349</v>
      </c>
      <c r="E35" s="2">
        <v>2</v>
      </c>
      <c r="F35" s="2">
        <v>550</v>
      </c>
    </row>
    <row r="36" spans="1:6">
      <c r="A36" s="2" t="s">
        <v>410</v>
      </c>
      <c r="B36" s="2" t="s">
        <v>349</v>
      </c>
      <c r="E36" s="2">
        <v>2</v>
      </c>
      <c r="F36" s="2">
        <v>500</v>
      </c>
    </row>
    <row r="37" spans="1:6">
      <c r="A37" s="2" t="s">
        <v>411</v>
      </c>
      <c r="B37" s="2" t="s">
        <v>349</v>
      </c>
      <c r="E37" s="2">
        <v>2</v>
      </c>
      <c r="F37" s="2">
        <v>500</v>
      </c>
    </row>
    <row r="38" spans="1:6">
      <c r="A38" s="2" t="s">
        <v>412</v>
      </c>
      <c r="B38" s="2" t="s">
        <v>349</v>
      </c>
      <c r="E38" s="2">
        <v>2</v>
      </c>
      <c r="F38" s="2">
        <v>450</v>
      </c>
    </row>
    <row r="39" spans="1:6">
      <c r="A39" s="2" t="s">
        <v>413</v>
      </c>
      <c r="B39" s="2" t="s">
        <v>349</v>
      </c>
      <c r="E39" s="2">
        <v>2</v>
      </c>
      <c r="F39" s="2">
        <v>400</v>
      </c>
    </row>
    <row r="40" spans="1:6">
      <c r="A40" s="2" t="s">
        <v>414</v>
      </c>
      <c r="B40" s="2" t="s">
        <v>349</v>
      </c>
      <c r="E40" s="2">
        <v>2</v>
      </c>
      <c r="F40" s="2">
        <v>400</v>
      </c>
    </row>
    <row r="41" spans="1:6">
      <c r="A41" s="2" t="s">
        <v>415</v>
      </c>
      <c r="B41" s="2" t="s">
        <v>349</v>
      </c>
      <c r="E41" s="2">
        <v>2</v>
      </c>
      <c r="F41" s="2">
        <v>400</v>
      </c>
    </row>
    <row r="42" spans="1:6">
      <c r="A42" s="2" t="s">
        <v>416</v>
      </c>
      <c r="B42" s="2" t="s">
        <v>349</v>
      </c>
      <c r="E42" s="2">
        <v>2</v>
      </c>
      <c r="F42" s="2">
        <v>350</v>
      </c>
    </row>
    <row r="43" spans="1:6">
      <c r="A43" s="2" t="s">
        <v>417</v>
      </c>
      <c r="B43" s="2" t="s">
        <v>349</v>
      </c>
      <c r="E43" s="2">
        <v>2</v>
      </c>
      <c r="F43" s="2">
        <v>350</v>
      </c>
    </row>
    <row r="44" spans="1:6">
      <c r="A44" s="2" t="s">
        <v>418</v>
      </c>
      <c r="B44" s="2" t="s">
        <v>349</v>
      </c>
      <c r="E44" s="2">
        <v>2</v>
      </c>
      <c r="F44" s="2">
        <v>300</v>
      </c>
    </row>
    <row r="45" spans="1:6">
      <c r="A45" s="2" t="s">
        <v>419</v>
      </c>
      <c r="B45" s="2" t="s">
        <v>349</v>
      </c>
      <c r="E45" s="2">
        <v>2</v>
      </c>
      <c r="F45" s="2">
        <v>300</v>
      </c>
    </row>
    <row r="46" spans="1:6">
      <c r="A46" s="2" t="s">
        <v>420</v>
      </c>
      <c r="B46" s="2" t="s">
        <v>349</v>
      </c>
      <c r="E46" s="2">
        <v>2</v>
      </c>
      <c r="F46" s="2">
        <v>300</v>
      </c>
    </row>
    <row r="47" spans="1:6">
      <c r="A47" s="2" t="s">
        <v>421</v>
      </c>
      <c r="B47" s="2" t="s">
        <v>349</v>
      </c>
      <c r="E47" s="2">
        <v>2</v>
      </c>
      <c r="F47" s="2">
        <v>250</v>
      </c>
    </row>
    <row r="48" spans="1:6">
      <c r="A48" s="2" t="s">
        <v>422</v>
      </c>
      <c r="B48" s="2" t="s">
        <v>349</v>
      </c>
      <c r="E48" s="2">
        <v>2</v>
      </c>
      <c r="F48" s="2">
        <v>250</v>
      </c>
    </row>
    <row r="49" spans="1:6">
      <c r="A49" s="2" t="s">
        <v>423</v>
      </c>
      <c r="B49" s="2" t="s">
        <v>349</v>
      </c>
      <c r="E49" s="2">
        <v>2</v>
      </c>
      <c r="F49" s="2">
        <v>200</v>
      </c>
    </row>
    <row r="50" spans="1:6">
      <c r="A50" s="2" t="s">
        <v>424</v>
      </c>
      <c r="B50" s="2" t="s">
        <v>349</v>
      </c>
      <c r="E50" s="2">
        <v>2</v>
      </c>
      <c r="F50" s="2">
        <v>200</v>
      </c>
    </row>
    <row r="51" spans="1:6">
      <c r="A51" s="2" t="s">
        <v>425</v>
      </c>
      <c r="B51" s="2" t="s">
        <v>349</v>
      </c>
      <c r="E51" s="2">
        <v>2</v>
      </c>
      <c r="F51" s="2">
        <v>200</v>
      </c>
    </row>
    <row r="52" spans="1:6">
      <c r="A52" s="30" t="s">
        <v>426</v>
      </c>
      <c r="B52" s="2" t="s">
        <v>349</v>
      </c>
      <c r="C52" s="29"/>
      <c r="D52" s="29"/>
      <c r="E52" s="2">
        <v>3</v>
      </c>
      <c r="F52" s="30">
        <v>2100</v>
      </c>
    </row>
    <row r="53" spans="1:6">
      <c r="A53" s="30" t="s">
        <v>427</v>
      </c>
      <c r="B53" s="2" t="s">
        <v>349</v>
      </c>
      <c r="C53" s="29"/>
      <c r="D53" s="29"/>
      <c r="E53" s="2">
        <v>3</v>
      </c>
      <c r="F53" s="30">
        <v>2050</v>
      </c>
    </row>
    <row r="54" spans="1:6">
      <c r="A54" s="30" t="s">
        <v>428</v>
      </c>
      <c r="B54" s="2" t="s">
        <v>349</v>
      </c>
      <c r="C54" s="29"/>
      <c r="D54" s="29"/>
      <c r="E54" s="2">
        <v>3</v>
      </c>
      <c r="F54" s="30">
        <v>2000</v>
      </c>
    </row>
    <row r="55" spans="1:6">
      <c r="A55" s="30" t="s">
        <v>429</v>
      </c>
      <c r="B55" s="2" t="s">
        <v>349</v>
      </c>
      <c r="C55" s="29"/>
      <c r="D55" s="29"/>
      <c r="E55" s="2">
        <v>3</v>
      </c>
      <c r="F55" s="30">
        <v>1950</v>
      </c>
    </row>
    <row r="56" spans="1:6">
      <c r="A56" s="30" t="s">
        <v>430</v>
      </c>
      <c r="B56" s="2" t="s">
        <v>349</v>
      </c>
      <c r="C56" s="29"/>
      <c r="D56" s="29"/>
      <c r="E56" s="2">
        <v>3</v>
      </c>
      <c r="F56" s="30">
        <v>1900</v>
      </c>
    </row>
    <row r="57" spans="1:6">
      <c r="A57" s="30" t="s">
        <v>431</v>
      </c>
      <c r="B57" s="2" t="s">
        <v>349</v>
      </c>
      <c r="C57" s="29"/>
      <c r="D57" s="29"/>
      <c r="E57" s="2">
        <v>3</v>
      </c>
      <c r="F57" s="30">
        <v>1800</v>
      </c>
    </row>
    <row r="58" spans="1:6">
      <c r="A58" s="30" t="s">
        <v>432</v>
      </c>
      <c r="B58" s="2" t="s">
        <v>349</v>
      </c>
      <c r="C58" s="29"/>
      <c r="D58" s="29"/>
      <c r="E58" s="2">
        <v>3</v>
      </c>
      <c r="F58" s="30">
        <v>1750</v>
      </c>
    </row>
    <row r="59" spans="1:6">
      <c r="A59" s="30" t="s">
        <v>433</v>
      </c>
      <c r="B59" s="2" t="s">
        <v>349</v>
      </c>
      <c r="C59" s="29"/>
      <c r="D59" s="29"/>
      <c r="E59" s="2">
        <v>3</v>
      </c>
      <c r="F59" s="30">
        <v>1700</v>
      </c>
    </row>
    <row r="60" spans="1:6">
      <c r="A60" s="30" t="s">
        <v>434</v>
      </c>
      <c r="B60" s="2" t="s">
        <v>349</v>
      </c>
      <c r="C60" s="29"/>
      <c r="D60" s="29"/>
      <c r="E60" s="2">
        <v>3</v>
      </c>
      <c r="F60" s="30">
        <v>1650</v>
      </c>
    </row>
    <row r="61" spans="1:6">
      <c r="A61" s="30" t="s">
        <v>435</v>
      </c>
      <c r="B61" s="2" t="s">
        <v>349</v>
      </c>
      <c r="C61" s="29"/>
      <c r="D61" s="29"/>
      <c r="E61" s="2">
        <v>3</v>
      </c>
      <c r="F61" s="30">
        <v>1600</v>
      </c>
    </row>
    <row r="62" spans="1:6">
      <c r="A62" s="30" t="s">
        <v>436</v>
      </c>
      <c r="B62" s="2" t="s">
        <v>349</v>
      </c>
      <c r="C62" s="29"/>
      <c r="D62" s="29"/>
      <c r="E62" s="2">
        <v>3</v>
      </c>
      <c r="F62" s="30">
        <v>1550</v>
      </c>
    </row>
    <row r="63" spans="1:6">
      <c r="A63" s="30" t="s">
        <v>437</v>
      </c>
      <c r="B63" s="2" t="s">
        <v>349</v>
      </c>
      <c r="C63" s="29"/>
      <c r="D63" s="29"/>
      <c r="E63" s="2">
        <v>3</v>
      </c>
      <c r="F63" s="30">
        <v>1500</v>
      </c>
    </row>
    <row r="64" spans="1:6">
      <c r="A64" s="30" t="s">
        <v>438</v>
      </c>
      <c r="B64" s="2" t="s">
        <v>349</v>
      </c>
      <c r="C64" s="29"/>
      <c r="D64" s="29"/>
      <c r="E64" s="2">
        <v>3</v>
      </c>
      <c r="F64" s="30">
        <v>1500</v>
      </c>
    </row>
    <row r="65" spans="1:6">
      <c r="A65" s="30" t="s">
        <v>439</v>
      </c>
      <c r="B65" s="2" t="s">
        <v>349</v>
      </c>
      <c r="C65" s="29"/>
      <c r="D65" s="29"/>
      <c r="E65" s="2">
        <v>3</v>
      </c>
      <c r="F65" s="30">
        <v>1450</v>
      </c>
    </row>
    <row r="66" spans="1:6">
      <c r="A66" s="30" t="s">
        <v>440</v>
      </c>
      <c r="B66" s="2" t="s">
        <v>349</v>
      </c>
      <c r="C66" s="29"/>
      <c r="D66" s="29"/>
      <c r="E66" s="2">
        <v>3</v>
      </c>
      <c r="F66" s="30">
        <v>1400</v>
      </c>
    </row>
    <row r="67" spans="1:6">
      <c r="A67" s="30" t="s">
        <v>441</v>
      </c>
      <c r="B67" s="2" t="s">
        <v>349</v>
      </c>
      <c r="C67" s="29"/>
      <c r="D67" s="29"/>
      <c r="E67" s="2">
        <v>3</v>
      </c>
      <c r="F67" s="30">
        <v>1350</v>
      </c>
    </row>
    <row r="68" spans="1:6">
      <c r="A68" s="30" t="s">
        <v>442</v>
      </c>
      <c r="B68" s="2" t="s">
        <v>349</v>
      </c>
      <c r="C68" s="29"/>
      <c r="D68" s="29"/>
      <c r="E68" s="2">
        <v>3</v>
      </c>
      <c r="F68" s="30">
        <v>1300</v>
      </c>
    </row>
    <row r="69" spans="1:6">
      <c r="A69" s="30" t="s">
        <v>443</v>
      </c>
      <c r="B69" s="2" t="s">
        <v>349</v>
      </c>
      <c r="C69" s="29"/>
      <c r="D69" s="29"/>
      <c r="E69" s="2">
        <v>3</v>
      </c>
      <c r="F69" s="30">
        <v>1300</v>
      </c>
    </row>
    <row r="70" spans="1:6">
      <c r="A70" s="30" t="s">
        <v>444</v>
      </c>
      <c r="B70" s="2" t="s">
        <v>349</v>
      </c>
      <c r="C70" s="29"/>
      <c r="D70" s="29"/>
      <c r="E70" s="2">
        <v>3</v>
      </c>
      <c r="F70" s="30">
        <v>1250</v>
      </c>
    </row>
    <row r="71" spans="1:6">
      <c r="A71" s="30" t="s">
        <v>445</v>
      </c>
      <c r="B71" s="2" t="s">
        <v>349</v>
      </c>
      <c r="C71" s="29"/>
      <c r="D71" s="29"/>
      <c r="E71" s="2">
        <v>3</v>
      </c>
      <c r="F71" s="30">
        <v>1200</v>
      </c>
    </row>
    <row r="72" spans="1:6">
      <c r="A72" s="30" t="s">
        <v>446</v>
      </c>
      <c r="B72" s="2" t="s">
        <v>349</v>
      </c>
      <c r="C72" s="29"/>
      <c r="D72" s="29"/>
      <c r="E72" s="2">
        <v>3</v>
      </c>
      <c r="F72" s="30">
        <v>1200</v>
      </c>
    </row>
    <row r="73" spans="1:6">
      <c r="A73" s="30" t="s">
        <v>447</v>
      </c>
      <c r="B73" s="2" t="s">
        <v>349</v>
      </c>
      <c r="C73" s="29"/>
      <c r="D73" s="29"/>
      <c r="E73" s="2">
        <v>3</v>
      </c>
      <c r="F73" s="30">
        <v>1150</v>
      </c>
    </row>
    <row r="74" spans="1:6">
      <c r="A74" s="30" t="s">
        <v>448</v>
      </c>
      <c r="B74" s="2" t="s">
        <v>349</v>
      </c>
      <c r="C74" s="29"/>
      <c r="D74" s="29"/>
      <c r="E74" s="2">
        <v>3</v>
      </c>
      <c r="F74" s="30">
        <v>1100</v>
      </c>
    </row>
    <row r="75" spans="1:6">
      <c r="A75" s="30" t="s">
        <v>449</v>
      </c>
      <c r="B75" s="2" t="s">
        <v>349</v>
      </c>
      <c r="C75" s="29"/>
      <c r="D75" s="29"/>
      <c r="E75" s="2">
        <v>3</v>
      </c>
      <c r="F75" s="30">
        <v>1100</v>
      </c>
    </row>
    <row r="76" spans="1:6">
      <c r="A76" s="30" t="s">
        <v>450</v>
      </c>
      <c r="B76" s="2" t="s">
        <v>349</v>
      </c>
      <c r="C76" s="29"/>
      <c r="D76" s="29"/>
      <c r="E76" s="2">
        <v>3</v>
      </c>
      <c r="F76" s="30">
        <v>1100</v>
      </c>
    </row>
    <row r="77" spans="1:6">
      <c r="A77" s="30" t="s">
        <v>451</v>
      </c>
      <c r="B77" s="2" t="s">
        <v>349</v>
      </c>
      <c r="C77" s="29"/>
      <c r="D77" s="29"/>
      <c r="E77" s="2">
        <v>3</v>
      </c>
      <c r="F77" s="30">
        <v>1050</v>
      </c>
    </row>
    <row r="78" spans="1:6">
      <c r="A78" s="30" t="s">
        <v>452</v>
      </c>
      <c r="B78" s="2" t="s">
        <v>349</v>
      </c>
      <c r="C78" s="29"/>
      <c r="D78" s="29"/>
      <c r="E78" s="2">
        <v>3</v>
      </c>
      <c r="F78" s="30">
        <v>1050</v>
      </c>
    </row>
    <row r="79" spans="1:6">
      <c r="A79" s="30" t="s">
        <v>453</v>
      </c>
      <c r="B79" s="2" t="s">
        <v>349</v>
      </c>
      <c r="C79" s="29"/>
      <c r="D79" s="29"/>
      <c r="E79" s="2">
        <v>3</v>
      </c>
      <c r="F79" s="30">
        <v>800</v>
      </c>
    </row>
    <row r="80" spans="1:6">
      <c r="A80" s="30" t="s">
        <v>454</v>
      </c>
      <c r="B80" s="2" t="s">
        <v>349</v>
      </c>
      <c r="C80" s="29"/>
      <c r="D80" s="29"/>
      <c r="E80" s="2">
        <v>3</v>
      </c>
      <c r="F80" s="30">
        <v>800</v>
      </c>
    </row>
    <row r="81" spans="1:6">
      <c r="A81" s="30" t="s">
        <v>455</v>
      </c>
      <c r="B81" s="2" t="s">
        <v>349</v>
      </c>
      <c r="C81" s="29"/>
      <c r="D81" s="29"/>
      <c r="E81" s="2">
        <v>3</v>
      </c>
      <c r="F81" s="30">
        <v>800</v>
      </c>
    </row>
    <row r="82" spans="1:6">
      <c r="A82" s="30" t="s">
        <v>456</v>
      </c>
      <c r="B82" s="2" t="s">
        <v>349</v>
      </c>
      <c r="C82" s="29"/>
      <c r="D82" s="29"/>
      <c r="E82" s="2">
        <v>3</v>
      </c>
      <c r="F82" s="30">
        <v>900</v>
      </c>
    </row>
    <row r="83" spans="1:6">
      <c r="A83" s="30" t="s">
        <v>457</v>
      </c>
      <c r="B83" s="2" t="s">
        <v>349</v>
      </c>
      <c r="C83" s="29"/>
      <c r="D83" s="29"/>
      <c r="E83" s="2">
        <v>3</v>
      </c>
      <c r="F83" s="30">
        <v>900</v>
      </c>
    </row>
    <row r="84" spans="1:6">
      <c r="A84" s="30" t="s">
        <v>458</v>
      </c>
      <c r="B84" s="2" t="s">
        <v>349</v>
      </c>
      <c r="C84" s="29"/>
      <c r="D84" s="29"/>
      <c r="E84" s="2">
        <v>3</v>
      </c>
      <c r="F84" s="30">
        <v>900</v>
      </c>
    </row>
    <row r="85" spans="1:6">
      <c r="A85" s="30" t="s">
        <v>459</v>
      </c>
      <c r="B85" s="2" t="s">
        <v>349</v>
      </c>
      <c r="C85" s="29"/>
      <c r="D85" s="29"/>
      <c r="E85" s="2">
        <v>3</v>
      </c>
      <c r="F85" s="30">
        <v>550</v>
      </c>
    </row>
    <row r="86" spans="1:6">
      <c r="A86" s="30" t="s">
        <v>460</v>
      </c>
      <c r="B86" s="2" t="s">
        <v>349</v>
      </c>
      <c r="C86" s="29"/>
      <c r="D86" s="29"/>
      <c r="E86" s="2">
        <v>3</v>
      </c>
      <c r="F86" s="30">
        <v>600</v>
      </c>
    </row>
    <row r="87" spans="1:6">
      <c r="A87" s="30" t="s">
        <v>461</v>
      </c>
      <c r="B87" s="2" t="s">
        <v>349</v>
      </c>
      <c r="C87" s="29"/>
      <c r="D87" s="29"/>
      <c r="E87" s="2">
        <v>3</v>
      </c>
      <c r="F87" s="30">
        <v>650</v>
      </c>
    </row>
    <row r="88" spans="1:6">
      <c r="A88" s="30" t="s">
        <v>462</v>
      </c>
      <c r="B88" s="2" t="s">
        <v>349</v>
      </c>
      <c r="C88" s="29"/>
      <c r="D88" s="29"/>
      <c r="E88" s="2">
        <v>3</v>
      </c>
      <c r="F88" s="30">
        <v>700</v>
      </c>
    </row>
    <row r="89" spans="1:6">
      <c r="A89" s="30" t="s">
        <v>463</v>
      </c>
      <c r="B89" s="2" t="s">
        <v>349</v>
      </c>
      <c r="C89" s="29"/>
      <c r="D89" s="29"/>
      <c r="E89" s="2">
        <v>3</v>
      </c>
      <c r="F89" s="30">
        <v>500</v>
      </c>
    </row>
    <row r="90" spans="1:6">
      <c r="A90" s="30" t="s">
        <v>464</v>
      </c>
      <c r="B90" s="2" t="s">
        <v>349</v>
      </c>
      <c r="C90" s="29"/>
      <c r="D90" s="29"/>
      <c r="E90" s="2">
        <v>3</v>
      </c>
      <c r="F90" s="30">
        <v>500</v>
      </c>
    </row>
    <row r="91" spans="1:6">
      <c r="A91" s="30" t="s">
        <v>465</v>
      </c>
      <c r="B91" s="2" t="s">
        <v>349</v>
      </c>
      <c r="C91" s="29"/>
      <c r="D91" s="29"/>
      <c r="E91" s="2">
        <v>3</v>
      </c>
      <c r="F91" s="30">
        <v>500</v>
      </c>
    </row>
    <row r="92" spans="1:6">
      <c r="A92" s="30" t="s">
        <v>466</v>
      </c>
      <c r="B92" s="2" t="s">
        <v>349</v>
      </c>
      <c r="C92" s="29"/>
      <c r="D92" s="29"/>
      <c r="E92" s="2">
        <v>3</v>
      </c>
      <c r="F92" s="30">
        <v>250</v>
      </c>
    </row>
    <row r="93" spans="1:6">
      <c r="A93" s="30" t="s">
        <v>467</v>
      </c>
      <c r="B93" s="2" t="s">
        <v>349</v>
      </c>
      <c r="C93" s="29"/>
      <c r="D93" s="29"/>
      <c r="E93" s="2">
        <v>3</v>
      </c>
      <c r="F93" s="30">
        <v>250</v>
      </c>
    </row>
    <row r="94" spans="1:6">
      <c r="A94" s="30" t="s">
        <v>468</v>
      </c>
      <c r="B94" s="2" t="s">
        <v>349</v>
      </c>
      <c r="C94" s="29"/>
      <c r="D94" s="29"/>
      <c r="E94" s="2">
        <v>3</v>
      </c>
      <c r="F94" s="30">
        <v>150</v>
      </c>
    </row>
    <row r="95" spans="1:6">
      <c r="A95" s="30" t="s">
        <v>469</v>
      </c>
      <c r="B95" s="2" t="s">
        <v>349</v>
      </c>
      <c r="C95" s="29"/>
      <c r="D95" s="29"/>
      <c r="E95" s="2">
        <v>3</v>
      </c>
      <c r="F95" s="30">
        <v>150</v>
      </c>
    </row>
    <row r="96" spans="1:6">
      <c r="A96" s="30" t="s">
        <v>470</v>
      </c>
      <c r="B96" s="2" t="s">
        <v>349</v>
      </c>
      <c r="C96" s="29"/>
      <c r="D96" s="29"/>
      <c r="E96" s="2">
        <v>3</v>
      </c>
      <c r="F96" s="30">
        <v>200</v>
      </c>
    </row>
    <row r="97" spans="1:6">
      <c r="A97" s="30" t="s">
        <v>471</v>
      </c>
      <c r="B97" s="2" t="s">
        <v>349</v>
      </c>
      <c r="C97" s="29"/>
      <c r="D97" s="29"/>
      <c r="E97" s="2">
        <v>3</v>
      </c>
      <c r="F97" s="30">
        <v>200</v>
      </c>
    </row>
    <row r="98" spans="1:6">
      <c r="A98" s="30" t="s">
        <v>472</v>
      </c>
      <c r="B98" s="2" t="s">
        <v>349</v>
      </c>
      <c r="C98" s="29"/>
      <c r="D98" s="29"/>
      <c r="E98" s="2">
        <v>3</v>
      </c>
      <c r="F98" s="30">
        <v>300</v>
      </c>
    </row>
    <row r="99" spans="1:6">
      <c r="A99" s="30" t="s">
        <v>473</v>
      </c>
      <c r="B99" s="2" t="s">
        <v>349</v>
      </c>
      <c r="C99" s="29"/>
      <c r="D99" s="29"/>
      <c r="E99" s="2">
        <v>3</v>
      </c>
      <c r="F99" s="30">
        <v>300</v>
      </c>
    </row>
    <row r="100" spans="1:6">
      <c r="A100" s="30" t="s">
        <v>474</v>
      </c>
      <c r="B100" s="2" t="s">
        <v>349</v>
      </c>
      <c r="C100" s="29"/>
      <c r="D100" s="29"/>
      <c r="E100" s="2">
        <v>3</v>
      </c>
      <c r="F100" s="30">
        <v>750</v>
      </c>
    </row>
    <row r="101" spans="1:6">
      <c r="A101" s="30" t="s">
        <v>475</v>
      </c>
      <c r="B101" s="2" t="s">
        <v>349</v>
      </c>
      <c r="C101" s="29"/>
      <c r="D101" s="29"/>
      <c r="E101" s="2">
        <v>3</v>
      </c>
      <c r="F101" s="30">
        <v>950</v>
      </c>
    </row>
    <row r="102" spans="1:6">
      <c r="A102" s="30" t="s">
        <v>476</v>
      </c>
      <c r="B102" s="2" t="s">
        <v>349</v>
      </c>
      <c r="C102" s="29"/>
      <c r="D102" s="29"/>
      <c r="E102" s="2">
        <v>3</v>
      </c>
      <c r="F102" s="30">
        <v>950</v>
      </c>
    </row>
    <row r="103" spans="1:6">
      <c r="A103" s="30" t="s">
        <v>477</v>
      </c>
      <c r="B103" s="2" t="s">
        <v>349</v>
      </c>
      <c r="C103" s="29"/>
      <c r="D103" s="29"/>
      <c r="E103" s="2">
        <v>3</v>
      </c>
      <c r="F103" s="30">
        <v>1000</v>
      </c>
    </row>
    <row r="104" spans="1:6">
      <c r="A104" s="30" t="s">
        <v>478</v>
      </c>
      <c r="B104" s="2" t="s">
        <v>349</v>
      </c>
      <c r="C104" s="29"/>
      <c r="D104" s="29"/>
      <c r="E104" s="2">
        <v>3</v>
      </c>
      <c r="F104" s="30">
        <v>1000</v>
      </c>
    </row>
    <row r="105" spans="1:6">
      <c r="A105" s="30" t="s">
        <v>479</v>
      </c>
      <c r="B105" s="2" t="s">
        <v>349</v>
      </c>
      <c r="C105" s="29"/>
      <c r="D105" s="29"/>
      <c r="E105" s="2">
        <v>3</v>
      </c>
      <c r="F105" s="30">
        <v>1000</v>
      </c>
    </row>
    <row r="106" spans="1:6">
      <c r="A106" s="30" t="s">
        <v>480</v>
      </c>
      <c r="B106" s="2" t="s">
        <v>349</v>
      </c>
      <c r="C106" s="29"/>
      <c r="D106" s="29"/>
      <c r="E106" s="2">
        <v>3</v>
      </c>
      <c r="F106" s="30">
        <v>1000</v>
      </c>
    </row>
    <row r="107" spans="1:6">
      <c r="A107" s="30" t="s">
        <v>481</v>
      </c>
      <c r="B107" s="2" t="s">
        <v>349</v>
      </c>
      <c r="C107" s="29"/>
      <c r="D107" s="29"/>
      <c r="E107" s="2">
        <v>3</v>
      </c>
      <c r="F107" s="30">
        <v>600</v>
      </c>
    </row>
    <row r="108" spans="1:6">
      <c r="A108" s="30" t="s">
        <v>462</v>
      </c>
      <c r="B108" s="2" t="s">
        <v>349</v>
      </c>
      <c r="C108" s="29"/>
      <c r="D108" s="29"/>
      <c r="E108" s="2">
        <v>3</v>
      </c>
      <c r="F108" s="30">
        <v>700</v>
      </c>
    </row>
    <row r="109" spans="1:6">
      <c r="A109" s="30" t="s">
        <v>435</v>
      </c>
      <c r="B109" s="2" t="s">
        <v>349</v>
      </c>
      <c r="C109" s="29"/>
      <c r="D109" s="29"/>
      <c r="E109" s="2">
        <v>3</v>
      </c>
      <c r="F109" s="30">
        <v>1600</v>
      </c>
    </row>
  </sheetData>
  <dataValidations count="2">
    <dataValidation type="list" allowBlank="1" showInputMessage="1" showErrorMessage="1" sqref="S17" xr:uid="{51529944-1743-41AB-AA6A-7803190C720D}">
      <formula1>"150,200,250,300,350,400,450,500,550,600,650,700,750,800,850,900,950,1000"</formula1>
    </dataValidation>
    <dataValidation type="list" allowBlank="1" showInputMessage="1" showErrorMessage="1" sqref="Q17:R17" xr:uid="{A6754EE9-29E5-40BA-8752-AE0D38A75AF2}">
      <formula1>"150,200,250,300,350,400,450,500,550,600,650,700"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2f0741-25f3-4ce6-8180-046248148eeb" xsi:nil="true"/>
    <lcf76f155ced4ddcb4097134ff3c332f xmlns="7486d476-3c1e-45c1-bee2-20a05bd1ab8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CEB7A2638B5A40BE3E454642CADA5A" ma:contentTypeVersion="15" ma:contentTypeDescription="Create a new document." ma:contentTypeScope="" ma:versionID="ac5552123d3218113b28a5f8f5b741db">
  <xsd:schema xmlns:xsd="http://www.w3.org/2001/XMLSchema" xmlns:xs="http://www.w3.org/2001/XMLSchema" xmlns:p="http://schemas.microsoft.com/office/2006/metadata/properties" xmlns:ns2="7486d476-3c1e-45c1-bee2-20a05bd1ab88" xmlns:ns3="662f0741-25f3-4ce6-8180-046248148eeb" targetNamespace="http://schemas.microsoft.com/office/2006/metadata/properties" ma:root="true" ma:fieldsID="940f08476a8d288278781c0b718bf91c" ns2:_="" ns3:_="">
    <xsd:import namespace="7486d476-3c1e-45c1-bee2-20a05bd1ab88"/>
    <xsd:import namespace="662f0741-25f3-4ce6-8180-046248148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6d476-3c1e-45c1-bee2-20a05bd1ab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f9ad234-835e-495e-80c4-8ad699b3bf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f0741-25f3-4ce6-8180-046248148e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6596a2-d5ed-4c6d-a19a-eba10989e20c}" ma:internalName="TaxCatchAll" ma:showField="CatchAllData" ma:web="662f0741-25f3-4ce6-8180-046248148e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8F09E-C15E-44FD-A2E1-8976B5FBFCDD}"/>
</file>

<file path=customXml/itemProps2.xml><?xml version="1.0" encoding="utf-8"?>
<ds:datastoreItem xmlns:ds="http://schemas.openxmlformats.org/officeDocument/2006/customXml" ds:itemID="{2CF3F5D1-F869-4897-9E39-D1A354F0AC7D}"/>
</file>

<file path=customXml/itemProps3.xml><?xml version="1.0" encoding="utf-8"?>
<ds:datastoreItem xmlns:ds="http://schemas.openxmlformats.org/officeDocument/2006/customXml" ds:itemID="{FFAD3A71-4434-4450-B33C-703BBCD7E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BINISTI</dc:creator>
  <cp:keywords/>
  <dc:description/>
  <cp:lastModifiedBy/>
  <cp:revision/>
  <dcterms:created xsi:type="dcterms:W3CDTF">2024-09-16T07:34:25Z</dcterms:created>
  <dcterms:modified xsi:type="dcterms:W3CDTF">2026-06-30T19:13:14Z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0x01010020CEB7A2638B5A40BE3E454642CADA5A</vt:lpwstr>
  </property>
  <property fmtid="{D5CDD505-2E9C-101B-9397-08002B2CF9AE}" pid="3" name="MediaServiceImageTags">
    <vt:lpwstr/>
  </property>
</Properties>
</file>